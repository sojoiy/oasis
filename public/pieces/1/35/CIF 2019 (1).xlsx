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gd/Downloads/"/>
    </mc:Choice>
  </mc:AlternateContent>
  <xr:revisionPtr revIDLastSave="0" documentId="8_{C52B6A60-EE7E-EF4E-9D1A-7AE0D9EE0805}" xr6:coauthVersionLast="43" xr6:coauthVersionMax="43" xr10:uidLastSave="{00000000-0000-0000-0000-000000000000}"/>
  <bookViews>
    <workbookView xWindow="-38400" yWindow="-1940" windowWidth="38400" windowHeight="21140" xr2:uid="{5E9FB78B-A176-7E4E-91B9-DBC10AF72864}"/>
  </bookViews>
  <sheets>
    <sheet name="Feuil1" sheetId="1" r:id="rId1"/>
  </sheets>
  <definedNames>
    <definedName name="_xlnm._FilterDatabase" localSheetId="0" hidden="1">Feuil1!$A$1:$P$907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V3" i="1"/>
  <c r="U3" i="1"/>
  <c r="W2" i="1"/>
  <c r="V2" i="1"/>
  <c r="U2" i="1"/>
  <c r="U23" i="1" l="1"/>
  <c r="V23" i="1"/>
  <c r="W23" i="1"/>
</calcChain>
</file>

<file path=xl/sharedStrings.xml><?xml version="1.0" encoding="utf-8"?>
<sst xmlns="http://schemas.openxmlformats.org/spreadsheetml/2006/main" count="10180" uniqueCount="1702">
  <si>
    <t>Partenaire</t>
  </si>
  <si>
    <t>Prestation</t>
  </si>
  <si>
    <t>Client</t>
  </si>
  <si>
    <t>Contrat</t>
  </si>
  <si>
    <t>Conseiller</t>
  </si>
  <si>
    <t>ISIN</t>
  </si>
  <si>
    <t>Fonds</t>
  </si>
  <si>
    <t>Encours</t>
  </si>
  <si>
    <t>Date ouverture</t>
  </si>
  <si>
    <t>Catégorie</t>
  </si>
  <si>
    <t>Type</t>
  </si>
  <si>
    <t>Soc. Gestion</t>
  </si>
  <si>
    <t>Collecte</t>
  </si>
  <si>
    <t>Décollecte</t>
  </si>
  <si>
    <t>Type contrat</t>
  </si>
  <si>
    <t>CIF</t>
  </si>
  <si>
    <t>SwissLife Banque Privée</t>
  </si>
  <si>
    <t>Compte de Dépôts Swiss Life Banque Privée</t>
  </si>
  <si>
    <t>RUP Jean Philippe</t>
  </si>
  <si>
    <t>NOCAUDIE Vivien</t>
  </si>
  <si>
    <t>ESoldeEspece</t>
  </si>
  <si>
    <t>Solde Espèces €</t>
  </si>
  <si>
    <t>2019-01-11</t>
  </si>
  <si>
    <t>Espèces</t>
  </si>
  <si>
    <t>Solde Espèces</t>
  </si>
  <si>
    <t>Compte Courant</t>
  </si>
  <si>
    <t>Oui</t>
  </si>
  <si>
    <t>Entrepreneur Venture Gestion</t>
  </si>
  <si>
    <t>Entrepreneur Venture Nominatif Pur</t>
  </si>
  <si>
    <t xml:space="preserve">IDEE.AL </t>
  </si>
  <si>
    <t>IDEE.AL - Smart Tréso</t>
  </si>
  <si>
    <t>RABAT Julien</t>
  </si>
  <si>
    <t>FCT2016STXXX</t>
  </si>
  <si>
    <t>FCT Smart Treso</t>
  </si>
  <si>
    <t>2019-06-06</t>
  </si>
  <si>
    <t>FCT Fonds Commun de Titrisation</t>
  </si>
  <si>
    <t>Capital Risque</t>
  </si>
  <si>
    <t xml:space="preserve">SACOR </t>
  </si>
  <si>
    <t>CHAMBON Eric</t>
  </si>
  <si>
    <t>2019-05-21</t>
  </si>
  <si>
    <t>WiseAM</t>
  </si>
  <si>
    <t>Club Deal Grenoble</t>
  </si>
  <si>
    <t>GINESTET MARTINE</t>
  </si>
  <si>
    <t>Club Deal Grenoble Ginestet Martine n° 12</t>
  </si>
  <si>
    <t>DELSOL JEAN-LUC</t>
  </si>
  <si>
    <t>SITUATIONANN</t>
  </si>
  <si>
    <t>Situation</t>
  </si>
  <si>
    <t>2018-11-09</t>
  </si>
  <si>
    <t>Sdg Inconnue</t>
  </si>
  <si>
    <t>Immobilier Locatif IS</t>
  </si>
  <si>
    <t>Nortia (Natixis Euro Titres)</t>
  </si>
  <si>
    <t>Compte Titres Nortia Invest NET (ex BP1818)</t>
  </si>
  <si>
    <t>ETCHEVERS Jacques</t>
  </si>
  <si>
    <t>FR0010588335</t>
  </si>
  <si>
    <t>Wise4</t>
  </si>
  <si>
    <t>2001-06-20</t>
  </si>
  <si>
    <t>FCP</t>
  </si>
  <si>
    <t>Compte titres</t>
  </si>
  <si>
    <t>Compte Titres SwissLife Banque</t>
  </si>
  <si>
    <t>LE MAREC Bertrand</t>
  </si>
  <si>
    <t>2019-01-15</t>
  </si>
  <si>
    <t xml:space="preserve">MANIC </t>
  </si>
  <si>
    <t>Club Deal Grenoble n° 15</t>
  </si>
  <si>
    <t>2018-11-13</t>
  </si>
  <si>
    <t>Club Deal Lyon</t>
  </si>
  <si>
    <t xml:space="preserve">FINANCIÈRE DU GRAND CRIN </t>
  </si>
  <si>
    <t>CDL Financière du Grand Crin_Mandat n°40</t>
  </si>
  <si>
    <t>BONFANTI Bénédicte</t>
  </si>
  <si>
    <t>2019-11-28</t>
  </si>
  <si>
    <t xml:space="preserve">DESMA </t>
  </si>
  <si>
    <t>CDL DESMA_Mandat n°47</t>
  </si>
  <si>
    <t>DAUBA Arnaud</t>
  </si>
  <si>
    <t>FABRE Jean</t>
  </si>
  <si>
    <t>2018-07-30</t>
  </si>
  <si>
    <t xml:space="preserve">ENTREPRISE HAINAULT </t>
  </si>
  <si>
    <t>KEULEYAN Stéphane</t>
  </si>
  <si>
    <t>2019-09-20</t>
  </si>
  <si>
    <t xml:space="preserve">EXAGONE </t>
  </si>
  <si>
    <t>2018-01-26</t>
  </si>
  <si>
    <t xml:space="preserve">HENRI VIGNES LIVRES ANCIENS SARL </t>
  </si>
  <si>
    <t>FR0013387149</t>
  </si>
  <si>
    <t>FCPR Entrepreneurs et Rendement N° 4 – Part I</t>
  </si>
  <si>
    <t>2019-04-09</t>
  </si>
  <si>
    <t>FCPR</t>
  </si>
  <si>
    <t>VILAIN Eric</t>
  </si>
  <si>
    <t>Club Deal Lyon Vilain Eric et Yasmina n°49</t>
  </si>
  <si>
    <t>DUBESSET Didier</t>
  </si>
  <si>
    <t>Club Deal Lyon Dubesset Didier et Sylvie n°50</t>
  </si>
  <si>
    <t>VIALARS Joël</t>
  </si>
  <si>
    <t>2019-03-29</t>
  </si>
  <si>
    <t xml:space="preserve">GWENATYA </t>
  </si>
  <si>
    <t>CDG Gwenatya-Mandat n°19</t>
  </si>
  <si>
    <t>FR0013230422</t>
  </si>
  <si>
    <t>WiseImmo</t>
  </si>
  <si>
    <t>SPPICAV</t>
  </si>
  <si>
    <t xml:space="preserve">CHATEAU AUSONE </t>
  </si>
  <si>
    <t>LAVAUD Sébastien</t>
  </si>
  <si>
    <t>FR0013330834</t>
  </si>
  <si>
    <t>FCPR Entrepreneurs &amp; Rendement N°3 - E</t>
  </si>
  <si>
    <t>2019-02-07</t>
  </si>
  <si>
    <t>HENRI VIGNES LIVRES ANCIENS SARL</t>
  </si>
  <si>
    <t>Club Deal Lyon Henri Vignes Livres Anciens n°48</t>
  </si>
  <si>
    <t xml:space="preserve">KAL1VEST </t>
  </si>
  <si>
    <t>CDL Kal1Vest-Mandat n°55</t>
  </si>
  <si>
    <t>PERRIN de BRICHAMBAUT Yolaine</t>
  </si>
  <si>
    <t>LE MAREC Adeline</t>
  </si>
  <si>
    <t>KAZCLO</t>
  </si>
  <si>
    <t>CDL-Kazclo-Mandat n°54</t>
  </si>
  <si>
    <t>SURQUIN Janine</t>
  </si>
  <si>
    <t>Club Deal Lyon Surquin Janine n°56</t>
  </si>
  <si>
    <t>Périal AM</t>
  </si>
  <si>
    <t>SCPI Participation Foncière Opportunité 2 PFO2</t>
  </si>
  <si>
    <t>CAILLAUD Jean-Michel</t>
  </si>
  <si>
    <t>SCPI Classiques diversifées</t>
  </si>
  <si>
    <t>Xerys Gestion</t>
  </si>
  <si>
    <t>XERYS VENTURE CAPITAL 2</t>
  </si>
  <si>
    <t>XVC2-FDGC</t>
  </si>
  <si>
    <t>XERYSVCAAP22</t>
  </si>
  <si>
    <t>Xerys Venture Capital (2) - SKYTECH</t>
  </si>
  <si>
    <t>2019-03-04</t>
  </si>
  <si>
    <t>Holding</t>
  </si>
  <si>
    <t>Investissement Direct PME</t>
  </si>
  <si>
    <t>PAITREAULT Jean-Pierre et Micheline</t>
  </si>
  <si>
    <t>CDG Paitreault-Mandat n°20</t>
  </si>
  <si>
    <t>REYNIER Jean-Marie et Danielle</t>
  </si>
  <si>
    <t>CDG Reynier Mandat n°21</t>
  </si>
  <si>
    <t>VALLY Pierre</t>
  </si>
  <si>
    <t>Club Deal Grenoble Vally PIerre n° 14</t>
  </si>
  <si>
    <t>GRAVE Camille</t>
  </si>
  <si>
    <t>Club Deal Grenoble Surquin Janine n°13</t>
  </si>
  <si>
    <t>2018-11-20</t>
  </si>
  <si>
    <t>FRATONI Jean-Baptiste</t>
  </si>
  <si>
    <t>Club Deal Lyon n° 51 - M. Fratoni Jean-Baptiste</t>
  </si>
  <si>
    <t>2019-10-28</t>
  </si>
  <si>
    <t>RUP Anthony</t>
  </si>
  <si>
    <t>Club Deal Lyon RUP Anthony N ° 31</t>
  </si>
  <si>
    <t>WiseIMMO</t>
  </si>
  <si>
    <t xml:space="preserve">NEAUME PATRIMOINE </t>
  </si>
  <si>
    <t>WiseIMMO 00001429</t>
  </si>
  <si>
    <t>2019-05-20</t>
  </si>
  <si>
    <t>OPPCI</t>
  </si>
  <si>
    <t>Corum AM</t>
  </si>
  <si>
    <t>SCPI Corum Origin</t>
  </si>
  <si>
    <t>HUMBERT Richard</t>
  </si>
  <si>
    <t>030376 SCPI CC</t>
  </si>
  <si>
    <t>SCPICCXXXXXX</t>
  </si>
  <si>
    <t>SCPI CC</t>
  </si>
  <si>
    <t>2019-04-16</t>
  </si>
  <si>
    <t>SCPI</t>
  </si>
  <si>
    <t>SAMMS Lisa &amp; Stephen</t>
  </si>
  <si>
    <t>CDG Samms Mandat n°17</t>
  </si>
  <si>
    <t>Club Deal Lyon VIALARS N ° 43</t>
  </si>
  <si>
    <t>CDL AUSONE_Mandat n°44</t>
  </si>
  <si>
    <t>BOUSQUET Michèle</t>
  </si>
  <si>
    <t>DOCTEUR Patrick</t>
  </si>
  <si>
    <t>2019-02-12</t>
  </si>
  <si>
    <t>FABRE Jean-Marc</t>
  </si>
  <si>
    <t>Club Deal Lyon n° 39 - M &amp; Mme FABRE</t>
  </si>
  <si>
    <t>2019-10-14</t>
  </si>
  <si>
    <t>FR0013387131</t>
  </si>
  <si>
    <t>FCPR Entrepreneurs et Rendement N° 4 – Part E</t>
  </si>
  <si>
    <t>2018-12-18</t>
  </si>
  <si>
    <t xml:space="preserve">PIERSAB </t>
  </si>
  <si>
    <t>2019-09-23</t>
  </si>
  <si>
    <t xml:space="preserve">AEC METALLURGIE </t>
  </si>
  <si>
    <t>2019-10-17</t>
  </si>
  <si>
    <t>Equitis Gestion</t>
  </si>
  <si>
    <t>Equitis Nominatif Pur</t>
  </si>
  <si>
    <t>PSS2019-Piersab</t>
  </si>
  <si>
    <t>FR0013416021</t>
  </si>
  <si>
    <t>Private Stars Selection 2019 - Part A</t>
  </si>
  <si>
    <t>FPCI</t>
  </si>
  <si>
    <t>BORIES Aude</t>
  </si>
  <si>
    <t>Club Deal Lyon BORIES Aude N ° 41</t>
  </si>
  <si>
    <t>RANGUIS Monique</t>
  </si>
  <si>
    <t>Club Deal Lyon Ranguis Monique n°37</t>
  </si>
  <si>
    <t>BORIES Florence</t>
  </si>
  <si>
    <t>Club Deal Lyon BORIES Florence  N ° 42</t>
  </si>
  <si>
    <t>CHATEAU AUSONE</t>
  </si>
  <si>
    <t>SLP Growth Ausone</t>
  </si>
  <si>
    <t>GAILLARD Philippe</t>
  </si>
  <si>
    <t>CDL Gaillard-Mandat n°38</t>
  </si>
  <si>
    <t>XERYS ENTREPRISES</t>
  </si>
  <si>
    <t xml:space="preserve">GSU Investissements </t>
  </si>
  <si>
    <t>XERYS GSU</t>
  </si>
  <si>
    <t>XENTREPRSEVH</t>
  </si>
  <si>
    <t>Xerys Entreprises – SEVENHUGS</t>
  </si>
  <si>
    <t>2019-09-19</t>
  </si>
  <si>
    <t>BERGIER Lise</t>
  </si>
  <si>
    <t>Club Deal Grenoble BERGIER N°16</t>
  </si>
  <si>
    <t>2018-11-12</t>
  </si>
  <si>
    <t>LEVAVASSEUR Marie Agnes</t>
  </si>
  <si>
    <t>BARUTEL Audrey</t>
  </si>
  <si>
    <t>2019-06-25</t>
  </si>
  <si>
    <t>LANAU Régis</t>
  </si>
  <si>
    <t>Club Deal Lyon LANAU Regis et Anne Marie N ° 45</t>
  </si>
  <si>
    <t>SAGNE Ginette</t>
  </si>
  <si>
    <t>030506 SCPI CC</t>
  </si>
  <si>
    <t>2019-04-25</t>
  </si>
  <si>
    <t>PRAUD Martine</t>
  </si>
  <si>
    <t xml:space="preserve"> SCPI Classiques diversifées</t>
  </si>
  <si>
    <t>MAROT  ATTALI Christine</t>
  </si>
  <si>
    <t>Wise IMMO 1510</t>
  </si>
  <si>
    <t>PAQUEREAU Sébastien</t>
  </si>
  <si>
    <t>2019-05-13</t>
  </si>
  <si>
    <t>SAUREL Patrick</t>
  </si>
  <si>
    <t>2003-01-07</t>
  </si>
  <si>
    <t>PRAUD Jacques</t>
  </si>
  <si>
    <t>CDG Praud J. Mandat n°22</t>
  </si>
  <si>
    <t>CDG Praud M. Mandat n°23</t>
  </si>
  <si>
    <t>CDG Gaillard Mandat n°18</t>
  </si>
  <si>
    <t>WUILLOT Jean</t>
  </si>
  <si>
    <t>Club Deal Lyon n° 57 - M. Wuillot Jean</t>
  </si>
  <si>
    <t>2019-11-14</t>
  </si>
  <si>
    <t>KORBOULEWSKY Christine</t>
  </si>
  <si>
    <t>Club Deal Lyon n° 46 - Mme Korboulewsky</t>
  </si>
  <si>
    <t>2019-11-05</t>
  </si>
  <si>
    <t>CAMPAGNI Michel</t>
  </si>
  <si>
    <t>FR0013387115</t>
  </si>
  <si>
    <t>FCPR Entrepreneurs et Rendement N°4</t>
  </si>
  <si>
    <t>BAREAU Bernard</t>
  </si>
  <si>
    <t>SAINT LEGER Remi</t>
  </si>
  <si>
    <t>2019-07-10</t>
  </si>
  <si>
    <t>PSS2019-PG</t>
  </si>
  <si>
    <t>XVC2-PG</t>
  </si>
  <si>
    <t>2019-09-25</t>
  </si>
  <si>
    <t>Club Deal Lyon BERGIER Lise N ° 52</t>
  </si>
  <si>
    <t>MADRIERES Monique</t>
  </si>
  <si>
    <t>Club Deal Lyon MADRIERES Monique N ° 53</t>
  </si>
  <si>
    <t>SwissLife Banque Privéeée</t>
  </si>
  <si>
    <t>SACHOT Claude</t>
  </si>
  <si>
    <t>2019-06-21</t>
  </si>
  <si>
    <t>PLACÉ Agnès</t>
  </si>
  <si>
    <t>2019-04-15</t>
  </si>
  <si>
    <t>COHEN-SALMON René</t>
  </si>
  <si>
    <t>030218 SCPI CC</t>
  </si>
  <si>
    <t>2019-04-10</t>
  </si>
  <si>
    <t>BELOTTI Gianluca</t>
  </si>
  <si>
    <t>FCPR4-GCB</t>
  </si>
  <si>
    <t>2019-10-30</t>
  </si>
  <si>
    <t>DARRASSE Marie-Claude Caroline</t>
  </si>
  <si>
    <t>QS0513811638</t>
  </si>
  <si>
    <t>SCPI Participation Foncière Opportunité 2 (PFO2)</t>
  </si>
  <si>
    <t>2019-08-30</t>
  </si>
  <si>
    <t>SCPI Corum XL</t>
  </si>
  <si>
    <t>009984 SCPI XL</t>
  </si>
  <si>
    <t>SCPICORUMXLX</t>
  </si>
  <si>
    <t>2019-09-10</t>
  </si>
  <si>
    <t>SOULIE Didier et Catherine</t>
  </si>
  <si>
    <t>FR0013330818</t>
  </si>
  <si>
    <t>FCPR Entrepreneurs &amp; Rendement N°3 - C</t>
  </si>
  <si>
    <t>2019-01-29</t>
  </si>
  <si>
    <t>TOURNOIS Jocelyne</t>
  </si>
  <si>
    <t>032519 SCPI CC</t>
  </si>
  <si>
    <t>2019-05-31</t>
  </si>
  <si>
    <t>BORTOLUSSI Anne-Marie</t>
  </si>
  <si>
    <t>AMAT Aurélien</t>
  </si>
  <si>
    <t>2018-12-14</t>
  </si>
  <si>
    <t>SCPI PF Grand Paris</t>
  </si>
  <si>
    <t>COHEN SALMON Chantal</t>
  </si>
  <si>
    <t>SCPI00000669</t>
  </si>
  <si>
    <t>SCPI Bureaux/Entrepôts</t>
  </si>
  <si>
    <t>034549 SCPI XL</t>
  </si>
  <si>
    <t>2019-07-25</t>
  </si>
  <si>
    <t>MAZARS André</t>
  </si>
  <si>
    <t>006916 SCPI XL</t>
  </si>
  <si>
    <t>2018-02-16</t>
  </si>
  <si>
    <t>ISKANDAR Henri</t>
  </si>
  <si>
    <t>2019-03-05</t>
  </si>
  <si>
    <t>2019-07-18</t>
  </si>
  <si>
    <t>MAUBARET Nicole</t>
  </si>
  <si>
    <t>2019-04-30</t>
  </si>
  <si>
    <t>BRU Richard</t>
  </si>
  <si>
    <t>2019-10-07</t>
  </si>
  <si>
    <t>2019-07-16</t>
  </si>
  <si>
    <t>POINOT Laurent</t>
  </si>
  <si>
    <t>XVC2-LP</t>
  </si>
  <si>
    <t>2019-02-26</t>
  </si>
  <si>
    <t>GFV Saint Vincent</t>
  </si>
  <si>
    <t>H6 - GFV</t>
  </si>
  <si>
    <t>JOLY Daniel</t>
  </si>
  <si>
    <t>La Font du Loup-1333</t>
  </si>
  <si>
    <t>2019-03-06</t>
  </si>
  <si>
    <t>Groupement Foncier Viticole</t>
  </si>
  <si>
    <t>PLACÉ Raphaël</t>
  </si>
  <si>
    <t>2019-05-17</t>
  </si>
  <si>
    <t xml:space="preserve">ALTIMUS </t>
  </si>
  <si>
    <t>2019-01-24</t>
  </si>
  <si>
    <t>MAUMY Catherine</t>
  </si>
  <si>
    <t>XVC2-Powidian+Alz-CM</t>
  </si>
  <si>
    <t>XERYSPOWIDI2</t>
  </si>
  <si>
    <t>Xerys Venture Capital (2) - POWIDIAN</t>
  </si>
  <si>
    <t>2019-09-24</t>
  </si>
  <si>
    <t>BOYER Arlette</t>
  </si>
  <si>
    <t>032519 SCPI XL</t>
  </si>
  <si>
    <t>AXA Gestion Interesment</t>
  </si>
  <si>
    <t>Epargne Salariale</t>
  </si>
  <si>
    <t xml:space="preserve">SEEMI </t>
  </si>
  <si>
    <t>9,9E+11</t>
  </si>
  <si>
    <t>Capital Monétaire 2</t>
  </si>
  <si>
    <t>2002-07-29</t>
  </si>
  <si>
    <t>Plan d'Epargne Entreprise PEE</t>
  </si>
  <si>
    <t>PELTEKIAN Yervant</t>
  </si>
  <si>
    <t>XVC2-Cryopur Alz-YP</t>
  </si>
  <si>
    <t>XERYSCRYOPU2</t>
  </si>
  <si>
    <t xml:space="preserve">Xerys Venture Capital (2) - CRYO PUR </t>
  </si>
  <si>
    <t>2019-02-11</t>
  </si>
  <si>
    <t>LATTES Anne</t>
  </si>
  <si>
    <t>2019-06-18</t>
  </si>
  <si>
    <t>LAGUIONIE DAMIEN</t>
  </si>
  <si>
    <t>XVC2-ABD ALZ 2018-DL</t>
  </si>
  <si>
    <t>BOURCHY Jean-Baptiste</t>
  </si>
  <si>
    <t>ALZPROTECT18</t>
  </si>
  <si>
    <t>Xerys Venture Capital (2) – ALZPROTECT 2018</t>
  </si>
  <si>
    <t>2019-10-02</t>
  </si>
  <si>
    <t>HOLLARD Jean-Marc et Sophie</t>
  </si>
  <si>
    <t>XVC2-JMSH-Sevenhugs 2018+Alzprotect 2018</t>
  </si>
  <si>
    <t>2019-09-05</t>
  </si>
  <si>
    <t>CHADEAU Pascale</t>
  </si>
  <si>
    <t>LORIN Clement</t>
  </si>
  <si>
    <t>032456 SCPI XL</t>
  </si>
  <si>
    <t>2019-05-15</t>
  </si>
  <si>
    <t>DAUGA Chantal</t>
  </si>
  <si>
    <t>2019-09-26</t>
  </si>
  <si>
    <t>2019-02-08</t>
  </si>
  <si>
    <t>QUENNEPOIX Frédéric</t>
  </si>
  <si>
    <t>de GIACOMONI Benoît</t>
  </si>
  <si>
    <t>2019-05-10</t>
  </si>
  <si>
    <t>XERYS VENTURE CAPITAL</t>
  </si>
  <si>
    <t>XVC Powidian - HFI</t>
  </si>
  <si>
    <t>POWIDIANXXXX</t>
  </si>
  <si>
    <t>XERYS VENTURE CAPITAL (1) – POWIDIAN</t>
  </si>
  <si>
    <t>2019-12-13</t>
  </si>
  <si>
    <t>CHATEAU GUILLAUME</t>
  </si>
  <si>
    <t>022116 SCPI XL</t>
  </si>
  <si>
    <t>2019-04-26</t>
  </si>
  <si>
    <t>MARTEAU Alain</t>
  </si>
  <si>
    <t>MARTEAU Rozenn</t>
  </si>
  <si>
    <t>BOUTET Marie-Paule</t>
  </si>
  <si>
    <t>FCPR4-MPB</t>
  </si>
  <si>
    <t>2019-10-24</t>
  </si>
  <si>
    <t>OHAYON Jérôme</t>
  </si>
  <si>
    <t>ROUX Franck</t>
  </si>
  <si>
    <t>2019-01-04</t>
  </si>
  <si>
    <t>2019-10-21</t>
  </si>
  <si>
    <t>ITURRALDE Thomas</t>
  </si>
  <si>
    <t>XVC2-ABD-TI</t>
  </si>
  <si>
    <t>ABD2018XXXXX</t>
  </si>
  <si>
    <t>Xerys Venture Capital (2) – ABD 2018</t>
  </si>
  <si>
    <t>PAQUET Thibaut</t>
  </si>
  <si>
    <t>XVC2-ABD-TVP</t>
  </si>
  <si>
    <t>BSA de préférence Alzprotect 2018 - 62/149</t>
  </si>
  <si>
    <t>BSA de Préférence Powidian 62/149</t>
  </si>
  <si>
    <t>BSA de préférence SKYTECH 62/149</t>
  </si>
  <si>
    <t>HANNEQUIN Jean-Louis</t>
  </si>
  <si>
    <t>XVC2-POWIDIAN ABD 2018</t>
  </si>
  <si>
    <t>CARRASCO Annie</t>
  </si>
  <si>
    <t>PHILIPPE Gilles</t>
  </si>
  <si>
    <t>FCPR4-PG</t>
  </si>
  <si>
    <t>2019-10-31</t>
  </si>
  <si>
    <t>DRUILHE Francis et Mauricette</t>
  </si>
  <si>
    <t>008942 SCPI XL</t>
  </si>
  <si>
    <t>2018-01-31</t>
  </si>
  <si>
    <t>CHATEAU TERRISSE Raphaël</t>
  </si>
  <si>
    <t>035320 SCPI XL</t>
  </si>
  <si>
    <t>2019-08-08</t>
  </si>
  <si>
    <t>M Capital Partners</t>
  </si>
  <si>
    <t>Midi Capital Nominatif Pur</t>
  </si>
  <si>
    <t>965/NP</t>
  </si>
  <si>
    <t>CLUBDEALIS16</t>
  </si>
  <si>
    <t>Club Deal ISF 2016</t>
  </si>
  <si>
    <t>2012-12-20</t>
  </si>
  <si>
    <t>Mandat de Gestion</t>
  </si>
  <si>
    <t>ESCANDE Claude</t>
  </si>
  <si>
    <t>2014-11-19</t>
  </si>
  <si>
    <t>008942 SCPI CC</t>
  </si>
  <si>
    <t>2016-02-26</t>
  </si>
  <si>
    <t>CHATEAU TERRISSE Valentin</t>
  </si>
  <si>
    <t>035321 SCPI XL</t>
  </si>
  <si>
    <t>PEA Nortia Invest NET (ex BP1818)</t>
  </si>
  <si>
    <t>LE DU Jean François</t>
  </si>
  <si>
    <t>2005-06-14</t>
  </si>
  <si>
    <t>PEA</t>
  </si>
  <si>
    <t>MILHAU Sylvette</t>
  </si>
  <si>
    <t>006827 SCPI CC</t>
  </si>
  <si>
    <t>2015-07-27</t>
  </si>
  <si>
    <t xml:space="preserve">CABINET FRANCOIS DELSOL </t>
  </si>
  <si>
    <t>2001-07-10</t>
  </si>
  <si>
    <t>VILLELLAS Frédéric</t>
  </si>
  <si>
    <t>2018-02-22</t>
  </si>
  <si>
    <t>2015-07-31</t>
  </si>
  <si>
    <t>Jullia Pierre</t>
  </si>
  <si>
    <t>2015-08-13</t>
  </si>
  <si>
    <t>SwissLife</t>
  </si>
  <si>
    <t>SWL Epargne Salariale</t>
  </si>
  <si>
    <t>CARMONA Karine</t>
  </si>
  <si>
    <t>25012-KC</t>
  </si>
  <si>
    <t>MINARO Olivia</t>
  </si>
  <si>
    <t>25012-OM</t>
  </si>
  <si>
    <t>MINARO Laurent</t>
  </si>
  <si>
    <t>MOLIERE Marc</t>
  </si>
  <si>
    <t>2006-05-11</t>
  </si>
  <si>
    <t>MARTI Georges</t>
  </si>
  <si>
    <t>FR0013282357</t>
  </si>
  <si>
    <t>Wise5PEA</t>
  </si>
  <si>
    <t>1993-12-11</t>
  </si>
  <si>
    <t>BOSSERT Patricia</t>
  </si>
  <si>
    <t>2002-12-31</t>
  </si>
  <si>
    <t>FODE Jean-Louis</t>
  </si>
  <si>
    <t>2007-07-20</t>
  </si>
  <si>
    <t>Moliere Fabienne</t>
  </si>
  <si>
    <t>2002-10-11</t>
  </si>
  <si>
    <t>Berni Josette</t>
  </si>
  <si>
    <t>2016-02-22</t>
  </si>
  <si>
    <t>DUMAS Bernard</t>
  </si>
  <si>
    <t>123 Investment Managers</t>
  </si>
  <si>
    <t>123 Investment Managers Nominatif Administré</t>
  </si>
  <si>
    <t>DUCOS Jean Michel</t>
  </si>
  <si>
    <t>4048335NA-13</t>
  </si>
  <si>
    <t>FR0011014521</t>
  </si>
  <si>
    <t>FIP 123Capitalisation II A A/I</t>
  </si>
  <si>
    <t>2011-09-16</t>
  </si>
  <si>
    <t>FIP</t>
  </si>
  <si>
    <t>123 Investment Managers Nominatif Pur</t>
  </si>
  <si>
    <t>BRILLAUD Pierre</t>
  </si>
  <si>
    <t>4064972NP-13</t>
  </si>
  <si>
    <t>FR0012086536</t>
  </si>
  <si>
    <t>FIP 123Patrimoine III A A/I</t>
  </si>
  <si>
    <t>2014-12-09</t>
  </si>
  <si>
    <t>BONNEMASON Joël et Anne-Marie</t>
  </si>
  <si>
    <t>4064782NP-13</t>
  </si>
  <si>
    <t>2014-12-03</t>
  </si>
  <si>
    <t>MILLET Nathalie</t>
  </si>
  <si>
    <t>4067328NP-13</t>
  </si>
  <si>
    <t>CLU2015123VE</t>
  </si>
  <si>
    <t>Mandat de Gestion du Club PME 2015 123Venture</t>
  </si>
  <si>
    <t>2015-05-26</t>
  </si>
  <si>
    <t>MILLET Thierry</t>
  </si>
  <si>
    <t>4063370NP-13</t>
  </si>
  <si>
    <t>FR0011661875</t>
  </si>
  <si>
    <t>123ISF 2014 A A/I</t>
  </si>
  <si>
    <t>2014-06-13</t>
  </si>
  <si>
    <t>PAITREAULT Jean-Pierre</t>
  </si>
  <si>
    <t>4062824NP-13</t>
  </si>
  <si>
    <t>CLU2014123VE</t>
  </si>
  <si>
    <t>Mandat de Gestion du Club PME 2014 123Venture</t>
  </si>
  <si>
    <t>2014-05-12</t>
  </si>
  <si>
    <t>REYNIER Danièle</t>
  </si>
  <si>
    <t>4063169NP-13</t>
  </si>
  <si>
    <t>2014-06-02</t>
  </si>
  <si>
    <t>Compte de Dépôts 1818</t>
  </si>
  <si>
    <t>CAILLAUD Jean-Michel &amp; Annie</t>
  </si>
  <si>
    <t>2015-01-23</t>
  </si>
  <si>
    <t>AXA Banque</t>
  </si>
  <si>
    <t>Compte Titres AXA Banque</t>
  </si>
  <si>
    <t>THEUERKAUFF Thomas</t>
  </si>
  <si>
    <t>FR0013281201</t>
  </si>
  <si>
    <t>Wise5</t>
  </si>
  <si>
    <t>2018-08-13</t>
  </si>
  <si>
    <t>2008-12-29</t>
  </si>
  <si>
    <t>DUPEYRON Caroline NP et Marie-France US</t>
  </si>
  <si>
    <t>2001-01-05</t>
  </si>
  <si>
    <t>DUPEYRON Marie-France</t>
  </si>
  <si>
    <t>DUPEYRON Marine NP et Marie-France US</t>
  </si>
  <si>
    <t>2011-09-20</t>
  </si>
  <si>
    <t>MAZOYER Camille</t>
  </si>
  <si>
    <t>2009-06-05</t>
  </si>
  <si>
    <t xml:space="preserve">MNTC BOURGADE </t>
  </si>
  <si>
    <t>2002-01-29</t>
  </si>
  <si>
    <t>SABRA Géraldine</t>
  </si>
  <si>
    <t>2004-06-10</t>
  </si>
  <si>
    <t>BARTHOMEUF Marie-Odile</t>
  </si>
  <si>
    <t>2007-11-29</t>
  </si>
  <si>
    <t>Jullia Colette</t>
  </si>
  <si>
    <t>2012-07-27</t>
  </si>
  <si>
    <t xml:space="preserve">LDR </t>
  </si>
  <si>
    <t>2010-05-17</t>
  </si>
  <si>
    <t>MOREAU Carine</t>
  </si>
  <si>
    <t>2003-01-02</t>
  </si>
  <si>
    <t>MOREAU Jacky</t>
  </si>
  <si>
    <t>MOREAU Laurent</t>
  </si>
  <si>
    <t xml:space="preserve">S.C.I. Vinthillac </t>
  </si>
  <si>
    <t>2010-05-18</t>
  </si>
  <si>
    <t>BERNARD Elisabeth</t>
  </si>
  <si>
    <t>FR0010347286</t>
  </si>
  <si>
    <t>OTC Entreprises 2 A</t>
  </si>
  <si>
    <t>2000-03-15</t>
  </si>
  <si>
    <t>FCPI</t>
  </si>
  <si>
    <t>APICAP</t>
  </si>
  <si>
    <t>CELLERIER Marylène</t>
  </si>
  <si>
    <t>2002-11-26</t>
  </si>
  <si>
    <t>FR0010547067</t>
  </si>
  <si>
    <t>Tocqueville Value Europe P</t>
  </si>
  <si>
    <t>2008-01-01</t>
  </si>
  <si>
    <t>Tocqueville Finance</t>
  </si>
  <si>
    <t>GADRET Dominique</t>
  </si>
  <si>
    <t>2000-07-31</t>
  </si>
  <si>
    <t>LACOSTE Julien</t>
  </si>
  <si>
    <t>2008-01-09</t>
  </si>
  <si>
    <t>LE QUERE Jean-François &amp; Claire</t>
  </si>
  <si>
    <t>2001-04-24</t>
  </si>
  <si>
    <t>2004-10-06</t>
  </si>
  <si>
    <t>RICHARD Yves &amp; Dominique</t>
  </si>
  <si>
    <t>2006-04-03</t>
  </si>
  <si>
    <t xml:space="preserve">AMATTO </t>
  </si>
  <si>
    <t>2001-06-22</t>
  </si>
  <si>
    <t xml:space="preserve">ASSURANCES BONNEFON </t>
  </si>
  <si>
    <t>2006-01-19</t>
  </si>
  <si>
    <t>BONNEFON Jean-Michel</t>
  </si>
  <si>
    <t>2005-04-22</t>
  </si>
  <si>
    <t>CANADELL Jacques</t>
  </si>
  <si>
    <t>2005-01-15</t>
  </si>
  <si>
    <t>2001-06-14</t>
  </si>
  <si>
    <t xml:space="preserve">ETABLISSEMENTS LAURENT </t>
  </si>
  <si>
    <t>2001-06-08</t>
  </si>
  <si>
    <t>ETCHEVERS MARIE-ANDREE</t>
  </si>
  <si>
    <t>2001-06-21</t>
  </si>
  <si>
    <t xml:space="preserve">GROUPEMENT FORESTIER D'ARRODE </t>
  </si>
  <si>
    <t>2001-02-08</t>
  </si>
  <si>
    <t>MARCHAND Joël</t>
  </si>
  <si>
    <t>FR0010489997</t>
  </si>
  <si>
    <t>OTC Entreprises 3 A</t>
  </si>
  <si>
    <t>2003-12-24</t>
  </si>
  <si>
    <t>ROUTIER Gilles</t>
  </si>
  <si>
    <t>2003-05-09</t>
  </si>
  <si>
    <t>BELBES Guy</t>
  </si>
  <si>
    <t>2005-06-07</t>
  </si>
  <si>
    <t>CARRETIER Jean-Claude</t>
  </si>
  <si>
    <t>2000-02-07</t>
  </si>
  <si>
    <t>CAZELLE Rosalie Gilberte</t>
  </si>
  <si>
    <t>2007-11-28</t>
  </si>
  <si>
    <t>2003-12-12</t>
  </si>
  <si>
    <t>JAILLET Alexandre et Martine</t>
  </si>
  <si>
    <t>2002-06-04</t>
  </si>
  <si>
    <t>JAILLET Martine</t>
  </si>
  <si>
    <t>2007-12-05</t>
  </si>
  <si>
    <t>MARIETTA Guy</t>
  </si>
  <si>
    <t>2003-11-27</t>
  </si>
  <si>
    <t>2009-10-02</t>
  </si>
  <si>
    <t>2008-12-15</t>
  </si>
  <si>
    <t xml:space="preserve">AFLC </t>
  </si>
  <si>
    <t>2005-07-11</t>
  </si>
  <si>
    <t>BAGARD Pierre</t>
  </si>
  <si>
    <t>FR0010210385</t>
  </si>
  <si>
    <t>OTC Entreprises 1 A</t>
  </si>
  <si>
    <t>2015-03-20</t>
  </si>
  <si>
    <t>BELARDI Paolo</t>
  </si>
  <si>
    <t>2009-12-16</t>
  </si>
  <si>
    <t>BOUILLEUX Frédéric</t>
  </si>
  <si>
    <t>2007-11-15</t>
  </si>
  <si>
    <t>BRIZAY Alain</t>
  </si>
  <si>
    <t>2006-05-22</t>
  </si>
  <si>
    <t>BULOS Maha</t>
  </si>
  <si>
    <t>2011-12-20</t>
  </si>
  <si>
    <t>CABANTOUS Jacques et Odette</t>
  </si>
  <si>
    <t>CHARLES Jean-Pierre</t>
  </si>
  <si>
    <t>2012-01-09</t>
  </si>
  <si>
    <t>DELINOT Françoise</t>
  </si>
  <si>
    <t>2008-11-12</t>
  </si>
  <si>
    <t>DUFAYET Edith</t>
  </si>
  <si>
    <t>2011-04-26</t>
  </si>
  <si>
    <t>ELIA Eric</t>
  </si>
  <si>
    <t>2005-11-25</t>
  </si>
  <si>
    <t>FERNANDEZ MONTERO Jesus</t>
  </si>
  <si>
    <t>FOURNIER Patrick</t>
  </si>
  <si>
    <t>2007-04-12</t>
  </si>
  <si>
    <t>LUGBULL Claire</t>
  </si>
  <si>
    <t>MAILLARD Françoise</t>
  </si>
  <si>
    <t>MARIE Philippe &amp; Brigitte</t>
  </si>
  <si>
    <t>2006-12-22</t>
  </si>
  <si>
    <t>VIARD Julien</t>
  </si>
  <si>
    <t>DUFAUR DESSUS Hubert</t>
  </si>
  <si>
    <t>2002-01-08</t>
  </si>
  <si>
    <t>DUFAUR DESSUS Laurent</t>
  </si>
  <si>
    <t xml:space="preserve">CANADELL </t>
  </si>
  <si>
    <t>CHASSAGNAC Brigitte</t>
  </si>
  <si>
    <t>DELSOL Pierre</t>
  </si>
  <si>
    <t>DIDIERJEAN Pierre</t>
  </si>
  <si>
    <t xml:space="preserve">NOBLE OAK </t>
  </si>
  <si>
    <t>VALLY † Daniel</t>
  </si>
  <si>
    <t xml:space="preserve">FONSECA </t>
  </si>
  <si>
    <t>0000-00-00</t>
  </si>
  <si>
    <t>2013-07-22</t>
  </si>
  <si>
    <t xml:space="preserve">KAZCLO </t>
  </si>
  <si>
    <t>2016-02-16</t>
  </si>
  <si>
    <t>$SoldeEspece</t>
  </si>
  <si>
    <t>Solde Espèces $</t>
  </si>
  <si>
    <t xml:space="preserve">MURE ET PEYROT </t>
  </si>
  <si>
    <t>2011-01-24</t>
  </si>
  <si>
    <t xml:space="preserve">SARL BERGER GESTION </t>
  </si>
  <si>
    <t>2014-06-18</t>
  </si>
  <si>
    <t xml:space="preserve">SAUFRELIS </t>
  </si>
  <si>
    <t>2010-01-21</t>
  </si>
  <si>
    <t xml:space="preserve">POUJOL </t>
  </si>
  <si>
    <t>YONNET Rémi et Christiane</t>
  </si>
  <si>
    <t>2014-04-04</t>
  </si>
  <si>
    <t>LE MAREC Alice</t>
  </si>
  <si>
    <t>2019-01-16</t>
  </si>
  <si>
    <t>LE MAREC Mathis</t>
  </si>
  <si>
    <t>LE MAREC Titouan</t>
  </si>
  <si>
    <t xml:space="preserve">SCI HYACINTHE </t>
  </si>
  <si>
    <t>2012-04-04</t>
  </si>
  <si>
    <t xml:space="preserve">VERNATURES </t>
  </si>
  <si>
    <t>Inter Gestion</t>
  </si>
  <si>
    <t>Cristal Rente</t>
  </si>
  <si>
    <t>USUREAU Maryvonne</t>
  </si>
  <si>
    <t>USUREAU Cristal Rente</t>
  </si>
  <si>
    <t>CRISTALRENTE</t>
  </si>
  <si>
    <t>SCPI Cristal Rente</t>
  </si>
  <si>
    <t>2010-11-03</t>
  </si>
  <si>
    <t>SCPI Murs de Magasins</t>
  </si>
  <si>
    <t>2016-04-20</t>
  </si>
  <si>
    <t>EPSENS</t>
  </si>
  <si>
    <t>EASY PACK PEE</t>
  </si>
  <si>
    <t xml:space="preserve">AFC </t>
  </si>
  <si>
    <t>ALM ES Carmignac Patrimoine Entreprises</t>
  </si>
  <si>
    <t>2006-12-18</t>
  </si>
  <si>
    <t xml:space="preserve">HAUSSMANN FINANCE </t>
  </si>
  <si>
    <t>ALM ES Tocqueville Value Europe</t>
  </si>
  <si>
    <t>EASY PACK PERCO</t>
  </si>
  <si>
    <t>Plan d'Epargne pour la Retraite Collectif PERCO</t>
  </si>
  <si>
    <t>EP Actions Euro</t>
  </si>
  <si>
    <t>DUNIE-MERIGOT Antoine</t>
  </si>
  <si>
    <t>2018-08-02</t>
  </si>
  <si>
    <t>DUNIE-MERIGOT Guillaume</t>
  </si>
  <si>
    <t xml:space="preserve">FINANCIERE DU COGLAIS </t>
  </si>
  <si>
    <t>2018-12-31</t>
  </si>
  <si>
    <t>GABRIAC Vincent</t>
  </si>
  <si>
    <t>230469 GABRIAC</t>
  </si>
  <si>
    <t>2018-08-03</t>
  </si>
  <si>
    <t>BOISSON Alexandre</t>
  </si>
  <si>
    <t>2018-11-29</t>
  </si>
  <si>
    <t>2018-11-15</t>
  </si>
  <si>
    <t>PUYUELO Stéphane</t>
  </si>
  <si>
    <t>2018-11-08</t>
  </si>
  <si>
    <t>BEAUME Maryse</t>
  </si>
  <si>
    <t>2018-10-10</t>
  </si>
  <si>
    <t>ETCHEVERS PATXI</t>
  </si>
  <si>
    <t>2018-08-09</t>
  </si>
  <si>
    <t>FR0013236874</t>
  </si>
  <si>
    <t>FCPR Entrepreneurs et Rendement N°2 Part I</t>
  </si>
  <si>
    <t>2018-03-23</t>
  </si>
  <si>
    <t>FR0013330842</t>
  </si>
  <si>
    <t>FCPR Entrepreneurs et Rendement N°3 Part I</t>
  </si>
  <si>
    <t>2018-09-26</t>
  </si>
  <si>
    <t xml:space="preserve">ATC - AMENAGEMENTS TERRASSEMENTS </t>
  </si>
  <si>
    <t>2017-10-04</t>
  </si>
  <si>
    <t xml:space="preserve">Fiduciaire de l'Essonne </t>
  </si>
  <si>
    <t>FR0013236866</t>
  </si>
  <si>
    <t>FCPR Entrepreneurs et Rendement N°2 Part E</t>
  </si>
  <si>
    <t>2018-03-28</t>
  </si>
  <si>
    <t xml:space="preserve">BLOTTIERE IMMOBILIER </t>
  </si>
  <si>
    <t>2018-12-27</t>
  </si>
  <si>
    <t>BOYE François</t>
  </si>
  <si>
    <t>2018-12-11</t>
  </si>
  <si>
    <t>CROISSANT Isabelle</t>
  </si>
  <si>
    <t>2018-11-23</t>
  </si>
  <si>
    <t>Epargne Foncière Nue Propriété</t>
  </si>
  <si>
    <t>CHESSA Françoise</t>
  </si>
  <si>
    <t>EPARGNE FONCIERE CHESSA</t>
  </si>
  <si>
    <t>QS0007945767</t>
  </si>
  <si>
    <t>SCPI Epargne Foncière</t>
  </si>
  <si>
    <t>2014-02-25</t>
  </si>
  <si>
    <t>La Française GREIM</t>
  </si>
  <si>
    <t xml:space="preserve">DOMAINE LA SOUFRANDISE </t>
  </si>
  <si>
    <t>QS0002105K10</t>
  </si>
  <si>
    <t>AXA Génération Equilibre 2</t>
  </si>
  <si>
    <t>FCPE</t>
  </si>
  <si>
    <t>Axa Investment Managers Paris</t>
  </si>
  <si>
    <t>EYESPLEASURE</t>
  </si>
  <si>
    <t>EYESPLEASURE Mr Etchevers</t>
  </si>
  <si>
    <t>QS0002021747</t>
  </si>
  <si>
    <t>Eyespleasure</t>
  </si>
  <si>
    <t>2013-06-03</t>
  </si>
  <si>
    <t>Titre vif</t>
  </si>
  <si>
    <t>Titres Non Cotés</t>
  </si>
  <si>
    <t>CARRERA Robert</t>
  </si>
  <si>
    <t>GFV Corton - CARRERA</t>
  </si>
  <si>
    <t>2009-12-21</t>
  </si>
  <si>
    <t>GFV SV MORGEOT CARRERA</t>
  </si>
  <si>
    <t>LATOUR Robert</t>
  </si>
  <si>
    <t>GFV Saint Vincent Chateau Grand Beausejour</t>
  </si>
  <si>
    <t>2017-04-10</t>
  </si>
  <si>
    <t>LEDUC Jean-Noël</t>
  </si>
  <si>
    <t>GFV La Tonnelle</t>
  </si>
  <si>
    <t>2011-11-28</t>
  </si>
  <si>
    <t>La Fleur Lauga-560</t>
  </si>
  <si>
    <t>2015-04-10</t>
  </si>
  <si>
    <t>Château La Tonelle</t>
  </si>
  <si>
    <t>2010-12-10</t>
  </si>
  <si>
    <t>Château Le Puy</t>
  </si>
  <si>
    <t>2015-10-27</t>
  </si>
  <si>
    <t>Clos des Corvées</t>
  </si>
  <si>
    <t>2010-11-17</t>
  </si>
  <si>
    <t>Saint Vincent de César</t>
  </si>
  <si>
    <t>2017-11-27</t>
  </si>
  <si>
    <t>HANNEQUIN Jean-Louis et Brigitte</t>
  </si>
  <si>
    <t>n°33-Château Grand Beauséjour</t>
  </si>
  <si>
    <t>2017-03-13</t>
  </si>
  <si>
    <t>N°35-Aÿ 1584</t>
  </si>
  <si>
    <t>GFVSAINTVINC</t>
  </si>
  <si>
    <t>GFV SAINT VINCENT AY 1584-LA MAY</t>
  </si>
  <si>
    <t>2017-03-14</t>
  </si>
  <si>
    <t>GFV</t>
  </si>
  <si>
    <t>Condé Boribeille-1174</t>
  </si>
  <si>
    <t>2018-10-02</t>
  </si>
  <si>
    <t>Le Puy-653</t>
  </si>
  <si>
    <t>2015-10-26</t>
  </si>
  <si>
    <t>Les Nobiats-1235</t>
  </si>
  <si>
    <t>2018-09-03</t>
  </si>
  <si>
    <t>Saint Vincent de Monbrison-867</t>
  </si>
  <si>
    <t>2016-11-17</t>
  </si>
  <si>
    <t>LEMAIRE Gilles et Patricia</t>
  </si>
  <si>
    <t>2013.0603.01-Château Landat</t>
  </si>
  <si>
    <t>2013.0902.05-St Vincent Bellevue de Tayac</t>
  </si>
  <si>
    <t>2013-08-30</t>
  </si>
  <si>
    <t>691-Monbrison</t>
  </si>
  <si>
    <t>2015-12-10</t>
  </si>
  <si>
    <t>Le Puy</t>
  </si>
  <si>
    <t>2018-05-02</t>
  </si>
  <si>
    <t>SAMMS Stephen</t>
  </si>
  <si>
    <t>Clos des Corvées-SS</t>
  </si>
  <si>
    <t>2010-04-01</t>
  </si>
  <si>
    <t>SCOTTO Christiane</t>
  </si>
  <si>
    <t>681-Monbrison</t>
  </si>
  <si>
    <t>2015-12-02</t>
  </si>
  <si>
    <t>Les Dames Antoine-682</t>
  </si>
  <si>
    <t>Grand Beauséjour</t>
  </si>
  <si>
    <t>2018-01-02</t>
  </si>
  <si>
    <t>LATOUR Denis</t>
  </si>
  <si>
    <t>16816/NP</t>
  </si>
  <si>
    <t>CLUBDEALIS15</t>
  </si>
  <si>
    <t>Club Deal ISF 2015</t>
  </si>
  <si>
    <t>2015-05-22</t>
  </si>
  <si>
    <t>21624/NP</t>
  </si>
  <si>
    <t>FR0013053154</t>
  </si>
  <si>
    <t>Santé &amp; Digital II B A/I</t>
  </si>
  <si>
    <t>2016-12-21</t>
  </si>
  <si>
    <t>CHERPI Jacques</t>
  </si>
  <si>
    <t>18144/NP</t>
  </si>
  <si>
    <t>FR0013253622</t>
  </si>
  <si>
    <t>HOLDING CLUB DEAL 2017 - Clé 4</t>
  </si>
  <si>
    <t>2015-12-21</t>
  </si>
  <si>
    <t>16845/NP</t>
  </si>
  <si>
    <t>2013-05-14</t>
  </si>
  <si>
    <t>TESSERON Colette</t>
  </si>
  <si>
    <t>18143/NP</t>
  </si>
  <si>
    <t>CLUBDEA12152</t>
  </si>
  <si>
    <t>Club Deal Décembre 2015 - Clé 2</t>
  </si>
  <si>
    <t>2015-11-09</t>
  </si>
  <si>
    <t>GUILLEMAUT Yves</t>
  </si>
  <si>
    <t>1400/NP</t>
  </si>
  <si>
    <t>FR0011017060</t>
  </si>
  <si>
    <t>Mezzano II A A/I</t>
  </si>
  <si>
    <t>2011-09-18</t>
  </si>
  <si>
    <t>16212/NP</t>
  </si>
  <si>
    <t>2015-06-01</t>
  </si>
  <si>
    <t>LEMBOULAS Rudi</t>
  </si>
  <si>
    <t>13780/NP</t>
  </si>
  <si>
    <t>2014-06-03</t>
  </si>
  <si>
    <t>NEYRET Pierre</t>
  </si>
  <si>
    <t>14897/NP</t>
  </si>
  <si>
    <t>FR0011804939</t>
  </si>
  <si>
    <t>FIP France Excellence II B A/I</t>
  </si>
  <si>
    <t>2014-12-04</t>
  </si>
  <si>
    <t>RONCALLI Patrick</t>
  </si>
  <si>
    <t>17501/NP</t>
  </si>
  <si>
    <t>ROUGE Marie-Hélène</t>
  </si>
  <si>
    <t>23093/NP</t>
  </si>
  <si>
    <t>2017-05-30</t>
  </si>
  <si>
    <t>TABERT André</t>
  </si>
  <si>
    <t>9399/NP</t>
  </si>
  <si>
    <t>2011-09-14</t>
  </si>
  <si>
    <t>14144/NP</t>
  </si>
  <si>
    <t>2014-06-16</t>
  </si>
  <si>
    <t>652/NP</t>
  </si>
  <si>
    <t>DEMADE Michèle</t>
  </si>
  <si>
    <t>20419/NP</t>
  </si>
  <si>
    <t>2016-05-25</t>
  </si>
  <si>
    <t>DEMADE Philippe</t>
  </si>
  <si>
    <t>10272/NP</t>
  </si>
  <si>
    <t>2013-06-10</t>
  </si>
  <si>
    <t>DEMAEGDT Xavier</t>
  </si>
  <si>
    <t>20960/NP</t>
  </si>
  <si>
    <t>2016-06-06</t>
  </si>
  <si>
    <t>5803/NP</t>
  </si>
  <si>
    <t>CLUBDEAL2012</t>
  </si>
  <si>
    <t>Club Deal ISF 2012</t>
  </si>
  <si>
    <t>2012-06-01</t>
  </si>
  <si>
    <t>10761/NP</t>
  </si>
  <si>
    <t>FR0011429000</t>
  </si>
  <si>
    <t>Capital Santé PME II B A/I</t>
  </si>
  <si>
    <t>2013-05-02</t>
  </si>
  <si>
    <t>PAITREAULT Micheline</t>
  </si>
  <si>
    <t>12862/NP</t>
  </si>
  <si>
    <t>2014-05-21</t>
  </si>
  <si>
    <t>REYNIER Jean-Marie</t>
  </si>
  <si>
    <t>14030/NP</t>
  </si>
  <si>
    <t>BONJOUR Jean-Marc</t>
  </si>
  <si>
    <t>13226/NP</t>
  </si>
  <si>
    <t>CLUBDEALIS14</t>
  </si>
  <si>
    <t>Club Deal ISF 2014</t>
  </si>
  <si>
    <t>5460/NP</t>
  </si>
  <si>
    <t>2012-05-28</t>
  </si>
  <si>
    <t>6040/NP</t>
  </si>
  <si>
    <t>2012-05-24</t>
  </si>
  <si>
    <t>10004/NP</t>
  </si>
  <si>
    <t>CLUBDEALIS13</t>
  </si>
  <si>
    <t>Club Deal ISF 2013</t>
  </si>
  <si>
    <t>KOWAL Bogdan</t>
  </si>
  <si>
    <t>10550/NP</t>
  </si>
  <si>
    <t>2013-05-31</t>
  </si>
  <si>
    <t>BROCCO Patrick</t>
  </si>
  <si>
    <t>4019/NP</t>
  </si>
  <si>
    <t>2012-06-03</t>
  </si>
  <si>
    <t>4403/NP</t>
  </si>
  <si>
    <t>2011-09-27</t>
  </si>
  <si>
    <t>COPFERMANN Liliane</t>
  </si>
  <si>
    <t>4621/NP</t>
  </si>
  <si>
    <t>2013-05-07</t>
  </si>
  <si>
    <t>LEMAIRE Gilles</t>
  </si>
  <si>
    <t>10600/NP</t>
  </si>
  <si>
    <t>2013-05-15</t>
  </si>
  <si>
    <t>7547/NP</t>
  </si>
  <si>
    <t>2012-05-23</t>
  </si>
  <si>
    <t>RENAUD Brigitte</t>
  </si>
  <si>
    <t>8712/NP</t>
  </si>
  <si>
    <t>2012-05-31</t>
  </si>
  <si>
    <t>RENAUD Didier</t>
  </si>
  <si>
    <t>8713/NP</t>
  </si>
  <si>
    <t>17569/NP</t>
  </si>
  <si>
    <t>2015-06-02</t>
  </si>
  <si>
    <t>12986/NP</t>
  </si>
  <si>
    <t>2014-06-01</t>
  </si>
  <si>
    <t>YONNET Rémi</t>
  </si>
  <si>
    <t>14205/NP</t>
  </si>
  <si>
    <t>2014-05-26</t>
  </si>
  <si>
    <t>CARBONNELL Jean-François</t>
  </si>
  <si>
    <t>13288/NP</t>
  </si>
  <si>
    <t>REAL Christine</t>
  </si>
  <si>
    <t>23318/NP</t>
  </si>
  <si>
    <t>2017-06-01</t>
  </si>
  <si>
    <t>RUP Jean-Marc</t>
  </si>
  <si>
    <t>19856/NP</t>
  </si>
  <si>
    <t>2016-04-27</t>
  </si>
  <si>
    <t>SABATE Henri</t>
  </si>
  <si>
    <t>12965/NP</t>
  </si>
  <si>
    <t>VIALAR COMBES Roger</t>
  </si>
  <si>
    <t>23310/NP</t>
  </si>
  <si>
    <t>2017-05-29</t>
  </si>
  <si>
    <t>2005-05-17</t>
  </si>
  <si>
    <t>CAMBOULIVE Elodie</t>
  </si>
  <si>
    <t>1998-07-08</t>
  </si>
  <si>
    <t>CAMBOULIVE Olivier</t>
  </si>
  <si>
    <t>1998-12-29</t>
  </si>
  <si>
    <t>GARNIER GIROUDON Sophie</t>
  </si>
  <si>
    <t>2004-03-10</t>
  </si>
  <si>
    <t>2006-10-30</t>
  </si>
  <si>
    <t>WUNDERLICH Gert</t>
  </si>
  <si>
    <t>2004-04-09</t>
  </si>
  <si>
    <t>DUSSARPS CAMUS Emmanuelle</t>
  </si>
  <si>
    <t>2001-07-19</t>
  </si>
  <si>
    <t>2001-12-27</t>
  </si>
  <si>
    <t>LANSAC-FATTE Jacques</t>
  </si>
  <si>
    <t>2001-05-23</t>
  </si>
  <si>
    <t>SANGUINE Isabelle</t>
  </si>
  <si>
    <t>1998-12-16</t>
  </si>
  <si>
    <t>DUBOE Christian</t>
  </si>
  <si>
    <t>2010-03-15</t>
  </si>
  <si>
    <t>SIRVENT Nicole</t>
  </si>
  <si>
    <t>1993-11-05</t>
  </si>
  <si>
    <t>BERNI Daniel</t>
  </si>
  <si>
    <t>GAUTHIER Aude-Diane</t>
  </si>
  <si>
    <t>2001-03-19</t>
  </si>
  <si>
    <t>GAUTHIER Marc</t>
  </si>
  <si>
    <t>QS0007006370</t>
  </si>
  <si>
    <t>Hasap SAS</t>
  </si>
  <si>
    <t>VIALAR COMBES Jocelyne</t>
  </si>
  <si>
    <t>2017-06-22</t>
  </si>
  <si>
    <t>CHARLEMAGNE Henri</t>
  </si>
  <si>
    <t>SACHOT Elisabeth</t>
  </si>
  <si>
    <t>PIERRE INVESTISSEMENTS 7</t>
  </si>
  <si>
    <t>BAROU Jean-Luc</t>
  </si>
  <si>
    <t>PIERREINVES7</t>
  </si>
  <si>
    <t>SCPI Pierre Investissement 7</t>
  </si>
  <si>
    <t>2011-11-30</t>
  </si>
  <si>
    <t>SCPI Quilès - Méhaignerie</t>
  </si>
  <si>
    <t>AEW Ciloger</t>
  </si>
  <si>
    <t>PIERRE PLUS</t>
  </si>
  <si>
    <t>SALVY Marc</t>
  </si>
  <si>
    <t>SCPI00000949</t>
  </si>
  <si>
    <t>SCPI Pierre Plus</t>
  </si>
  <si>
    <t>2011-11-16</t>
  </si>
  <si>
    <t xml:space="preserve">SCPI  PFO² Nue Propriété </t>
  </si>
  <si>
    <t>LE CLERC DE BUSSY Jean Luc</t>
  </si>
  <si>
    <t>PFO 2 LE CLERC DE BUSSY</t>
  </si>
  <si>
    <t>2012-03-30</t>
  </si>
  <si>
    <t>411156 -  PFO2 Vally Pierre NP</t>
  </si>
  <si>
    <t>2011-12-19</t>
  </si>
  <si>
    <t xml:space="preserve">COUSIN </t>
  </si>
  <si>
    <t>SCPI PFO² Cousin NP</t>
  </si>
  <si>
    <t>SCPI Ciloger Habitat</t>
  </si>
  <si>
    <t>GOUZIEN Philippe</t>
  </si>
  <si>
    <t>GOUZIEN Ciloger Habitat 2</t>
  </si>
  <si>
    <t>SCPICILOGHA2</t>
  </si>
  <si>
    <t>SCPI Ciloger Habitat 2</t>
  </si>
  <si>
    <t>2010-10-21</t>
  </si>
  <si>
    <t>SCPI Scellier</t>
  </si>
  <si>
    <t>CILOGERHABIT</t>
  </si>
  <si>
    <t>2009-12-10</t>
  </si>
  <si>
    <t>SAINT BLANCAT Jean-Pierre</t>
  </si>
  <si>
    <t>SCPI CILOGER HABITAT ST BLANCAT JP</t>
  </si>
  <si>
    <t>ARNAUD Gilles</t>
  </si>
  <si>
    <t>016616 SCPI CC</t>
  </si>
  <si>
    <t>2017-07-19</t>
  </si>
  <si>
    <t>008297 SCPI CC</t>
  </si>
  <si>
    <t>2015-12-07</t>
  </si>
  <si>
    <t>BORRAS Frédéric</t>
  </si>
  <si>
    <t>026551 SCPI CC</t>
  </si>
  <si>
    <t>2018-12-19</t>
  </si>
  <si>
    <t>CHAUMONT Catherine</t>
  </si>
  <si>
    <t>019082 SCPI CC</t>
  </si>
  <si>
    <t xml:space="preserve">CONFECTION DU COGLAIS </t>
  </si>
  <si>
    <t>012598 SCPI CC</t>
  </si>
  <si>
    <t>2016-11-15</t>
  </si>
  <si>
    <t>DAYDE Alain</t>
  </si>
  <si>
    <t>012894 SCPI CC</t>
  </si>
  <si>
    <t>2016-11-25</t>
  </si>
  <si>
    <t xml:space="preserve">DELTORN Jean-Marc et SZITA Szilvia </t>
  </si>
  <si>
    <t>016377 SCPI CC</t>
  </si>
  <si>
    <t>2017-06-30</t>
  </si>
  <si>
    <t>DOSTES Jean-François &amp; Evelyne</t>
  </si>
  <si>
    <t>013075 SCPI CC</t>
  </si>
  <si>
    <t>2016-11-30</t>
  </si>
  <si>
    <t>026807 SCPI CC</t>
  </si>
  <si>
    <t>GREGSON Agnès</t>
  </si>
  <si>
    <t>020108 SCPI CC</t>
  </si>
  <si>
    <t>2018-03-16</t>
  </si>
  <si>
    <t>LECHABLE Victor et Thérèse</t>
  </si>
  <si>
    <t>018195 SCPI CC</t>
  </si>
  <si>
    <t>2017-11-30</t>
  </si>
  <si>
    <t>LEGOFF Jean Pierre et Janine</t>
  </si>
  <si>
    <t>027003 SCPI CC</t>
  </si>
  <si>
    <t>020373 SCPI CC</t>
  </si>
  <si>
    <t>2018-03-21</t>
  </si>
  <si>
    <t>POMMEREUL Jean -Michel</t>
  </si>
  <si>
    <t>014740 SCPI CC</t>
  </si>
  <si>
    <t>2017-03-17</t>
  </si>
  <si>
    <t>SACHOT Anne-Laure</t>
  </si>
  <si>
    <t>009956 SCPI CC</t>
  </si>
  <si>
    <t>2016-04-26</t>
  </si>
  <si>
    <t>018279 SCPI CC</t>
  </si>
  <si>
    <t>2017-11-21</t>
  </si>
  <si>
    <t>009955 Usufruit</t>
  </si>
  <si>
    <t>SCPICORUMCON</t>
  </si>
  <si>
    <t>SACHOT Stéphanie</t>
  </si>
  <si>
    <t>009957 SCPI CC</t>
  </si>
  <si>
    <t xml:space="preserve">Sébastien MARTY &amp; Alexandre FILLATRE </t>
  </si>
  <si>
    <t>016058 SCPI CC</t>
  </si>
  <si>
    <t>2017-05-18</t>
  </si>
  <si>
    <t>SPEAR Anne</t>
  </si>
  <si>
    <t>022187 SCPI CC</t>
  </si>
  <si>
    <t>2018-05-31</t>
  </si>
  <si>
    <t>ARNOLDO Véronique</t>
  </si>
  <si>
    <t>023456 SCPI CC</t>
  </si>
  <si>
    <t>2018-07-31</t>
  </si>
  <si>
    <t>009984 SCPI CC</t>
  </si>
  <si>
    <t>004129 SCPI CC</t>
  </si>
  <si>
    <t>015285 SCPI CC</t>
  </si>
  <si>
    <t>2017-04-18</t>
  </si>
  <si>
    <t>FABRE Muriel</t>
  </si>
  <si>
    <t>015282 SCPI CC</t>
  </si>
  <si>
    <t>2017-05-31</t>
  </si>
  <si>
    <t>HAROUN Charles et  Josette</t>
  </si>
  <si>
    <t>026420 SCPI CC</t>
  </si>
  <si>
    <t>MARRO CAZENAVE Marie Louise</t>
  </si>
  <si>
    <t>012156 SCPI CC</t>
  </si>
  <si>
    <t>2016-09-30</t>
  </si>
  <si>
    <t>006916 SCPI CC</t>
  </si>
  <si>
    <t>2015-07-30</t>
  </si>
  <si>
    <t>METELLUS Françoise</t>
  </si>
  <si>
    <t>005220 SCPI CC</t>
  </si>
  <si>
    <t>2015-03-26</t>
  </si>
  <si>
    <t>MOLIERE Marc  et Fabienne</t>
  </si>
  <si>
    <t>016007 SCPI CC</t>
  </si>
  <si>
    <t>PRAT Louise</t>
  </si>
  <si>
    <t>004198 SCPI CC</t>
  </si>
  <si>
    <t>2014-11-24</t>
  </si>
  <si>
    <t xml:space="preserve">SCI LA GUIPE </t>
  </si>
  <si>
    <t>SIE Béatrice</t>
  </si>
  <si>
    <t>012725 SCPI CC</t>
  </si>
  <si>
    <t>SOUILLE Nathalie</t>
  </si>
  <si>
    <t>026182 SCPI CC</t>
  </si>
  <si>
    <t>2018-12-10</t>
  </si>
  <si>
    <t>THOMAS Alain et Fréderique</t>
  </si>
  <si>
    <t>022574 SCPI CC</t>
  </si>
  <si>
    <t>2018-05-29</t>
  </si>
  <si>
    <t>TOURNOIS Anne Sophie</t>
  </si>
  <si>
    <t>003207 SCPI CC</t>
  </si>
  <si>
    <t>2014-06-25</t>
  </si>
  <si>
    <t>WATSON Souazic</t>
  </si>
  <si>
    <t>018008 SCPI CC</t>
  </si>
  <si>
    <t>2017-11-14</t>
  </si>
  <si>
    <t>BERJOT Jean-Michel et Alyne</t>
  </si>
  <si>
    <t>015278 SCPI CC</t>
  </si>
  <si>
    <t>2017-04-06</t>
  </si>
  <si>
    <t>004448 SCPI CC</t>
  </si>
  <si>
    <t>2014-12-11</t>
  </si>
  <si>
    <t>004397 SCPI CC</t>
  </si>
  <si>
    <t>2014-12-19</t>
  </si>
  <si>
    <t>004131 SCPI CC</t>
  </si>
  <si>
    <t>2014-11-27</t>
  </si>
  <si>
    <t>BOUQUILLION Daniel</t>
  </si>
  <si>
    <t>014951 SCPI CC</t>
  </si>
  <si>
    <t>DESORTIAUX Bertrand</t>
  </si>
  <si>
    <t>2017-03-24</t>
  </si>
  <si>
    <t>GONZVA Alain</t>
  </si>
  <si>
    <t>020200 SCPI CC</t>
  </si>
  <si>
    <t>2018-03-22</t>
  </si>
  <si>
    <t>GONZVA Danielle</t>
  </si>
  <si>
    <t>020201 SCPI CC</t>
  </si>
  <si>
    <t>MOISSET Michel et Pierrette</t>
  </si>
  <si>
    <t>008450 SCPI CC</t>
  </si>
  <si>
    <t>2015-12-15</t>
  </si>
  <si>
    <t>HOLLARD Jean-Marc</t>
  </si>
  <si>
    <t>005119 SCPI CC</t>
  </si>
  <si>
    <t>2015-03-19</t>
  </si>
  <si>
    <t xml:space="preserve">HCH </t>
  </si>
  <si>
    <t>013804 SCPI CC</t>
  </si>
  <si>
    <t>2017-01-16</t>
  </si>
  <si>
    <t xml:space="preserve">PP SARL </t>
  </si>
  <si>
    <t>011283 SCPI CC</t>
  </si>
  <si>
    <t>2016-07-13</t>
  </si>
  <si>
    <t>022116 SCPI CC</t>
  </si>
  <si>
    <t>014853 SCPI CC</t>
  </si>
  <si>
    <t>2017-03-21</t>
  </si>
  <si>
    <t>LATTES Philippe</t>
  </si>
  <si>
    <t>019936 SCPI CC</t>
  </si>
  <si>
    <t>2018-02-27</t>
  </si>
  <si>
    <t>LATTES Philippe &amp; Anne</t>
  </si>
  <si>
    <t>017259 SCPI CC</t>
  </si>
  <si>
    <t>2018-05-18</t>
  </si>
  <si>
    <t>SINEGRE Isabelle</t>
  </si>
  <si>
    <t>019582 SCPI CC</t>
  </si>
  <si>
    <t>2018-02-21</t>
  </si>
  <si>
    <t>VILLELLAS Frédéric et Florence</t>
  </si>
  <si>
    <t>018852 SCPI CC</t>
  </si>
  <si>
    <t>2017-12-29</t>
  </si>
  <si>
    <t>SCPI Corum US</t>
  </si>
  <si>
    <t>CHAUMONT Jean-Pierre &amp; Janine</t>
  </si>
  <si>
    <t>2018-05-23</t>
  </si>
  <si>
    <t xml:space="preserve">VIKANE </t>
  </si>
  <si>
    <t>MOULET Mireille</t>
  </si>
  <si>
    <t>017368 SCPI XL</t>
  </si>
  <si>
    <t>2017-09-27</t>
  </si>
  <si>
    <t xml:space="preserve">Jardins des Vallées </t>
  </si>
  <si>
    <t>018406 SCPI XL</t>
  </si>
  <si>
    <t>2017-11-06</t>
  </si>
  <si>
    <t xml:space="preserve">LA CROIX MERLIN </t>
  </si>
  <si>
    <t>YG</t>
  </si>
  <si>
    <t>2017-11-23</t>
  </si>
  <si>
    <t>014853 SCPI XL</t>
  </si>
  <si>
    <t>2017-12-19</t>
  </si>
  <si>
    <t>017259 SCPI XL</t>
  </si>
  <si>
    <t>2017-09-04</t>
  </si>
  <si>
    <t>A03EFP</t>
  </si>
  <si>
    <t>Paref Gestion</t>
  </si>
  <si>
    <t>SCPI Interpierre France</t>
  </si>
  <si>
    <t xml:space="preserve">JPDO2 </t>
  </si>
  <si>
    <t>JPDO2 Interpierre</t>
  </si>
  <si>
    <t>SCPI00000639</t>
  </si>
  <si>
    <t>SCPI Internationale</t>
  </si>
  <si>
    <t>SCPI MUTIHABITATIONS5</t>
  </si>
  <si>
    <t>SAINT BLANCAT Joëlle</t>
  </si>
  <si>
    <t>SCPI MULTIHABITATION 5 ST BLANCAT J</t>
  </si>
  <si>
    <t>MULTIHABITA5</t>
  </si>
  <si>
    <t>SCPI MultiHabitation 5</t>
  </si>
  <si>
    <t>SCPI Habitation</t>
  </si>
  <si>
    <t>SCPI Novapierre 1</t>
  </si>
  <si>
    <t>ARNAUDIS Jacques</t>
  </si>
  <si>
    <t>NOVAPIERRE 1 M &amp; Mme ARNAUDIS</t>
  </si>
  <si>
    <t>SCPI00000829</t>
  </si>
  <si>
    <t>2011-11-25</t>
  </si>
  <si>
    <t>LANDET Marie France</t>
  </si>
  <si>
    <t>NOVAPIERRE LANDET</t>
  </si>
  <si>
    <t>2011-10-14</t>
  </si>
  <si>
    <t>SCPI Novapierre Allemagne</t>
  </si>
  <si>
    <t>NOVAPIERRE ALLEMAGNE LANDET</t>
  </si>
  <si>
    <t>NOVAPIEREALL</t>
  </si>
  <si>
    <t>2014-07-07</t>
  </si>
  <si>
    <t>SCPI Diversifiées sur l'Europe</t>
  </si>
  <si>
    <t>NOVAPIERRE ALL MAZARS</t>
  </si>
  <si>
    <t>2016-01-19</t>
  </si>
  <si>
    <t>Novapierre Allemagne SCI LA GUIPE</t>
  </si>
  <si>
    <t>2016-02-12</t>
  </si>
  <si>
    <t>AUTRET Eric et Isabelle</t>
  </si>
  <si>
    <t>2011-08-23</t>
  </si>
  <si>
    <t>CADO Mireille</t>
  </si>
  <si>
    <t>2014-11-28</t>
  </si>
  <si>
    <t>CASTERET Huguette</t>
  </si>
  <si>
    <t>2013-04-09</t>
  </si>
  <si>
    <t>CHAMBERT Nicole</t>
  </si>
  <si>
    <t>CHATELAIN Michèle</t>
  </si>
  <si>
    <t>2014-02-14</t>
  </si>
  <si>
    <t>2014-03-01</t>
  </si>
  <si>
    <t>COLLOT Catherine</t>
  </si>
  <si>
    <t>2014-02-28</t>
  </si>
  <si>
    <t>GUYOT Jean Marc et Sabine</t>
  </si>
  <si>
    <t>2014-05-14</t>
  </si>
  <si>
    <t>2014-11-12</t>
  </si>
  <si>
    <t>2013-11-25</t>
  </si>
  <si>
    <t>PONS Denise</t>
  </si>
  <si>
    <t>2015-10-09</t>
  </si>
  <si>
    <t>2012-01-26</t>
  </si>
  <si>
    <t>2010-11-06</t>
  </si>
  <si>
    <t>2011-09-07</t>
  </si>
  <si>
    <t>BUCAILLE Patrick</t>
  </si>
  <si>
    <t>2012-06-27</t>
  </si>
  <si>
    <t>DRUILHE Francis</t>
  </si>
  <si>
    <t>2014-01-08</t>
  </si>
  <si>
    <t>DUFFAUT Michel</t>
  </si>
  <si>
    <t>2011-12-15</t>
  </si>
  <si>
    <t>GAU Jacques</t>
  </si>
  <si>
    <t>PFO2 GAU</t>
  </si>
  <si>
    <t>2010-10-26</t>
  </si>
  <si>
    <t>2015-03-31</t>
  </si>
  <si>
    <t>2014-11-25</t>
  </si>
  <si>
    <t>2011-11-15</t>
  </si>
  <si>
    <t>2017-04-20</t>
  </si>
  <si>
    <t>LELIEVRE Philippe</t>
  </si>
  <si>
    <t>2014-12-31</t>
  </si>
  <si>
    <t>2015-01-27</t>
  </si>
  <si>
    <t>CLOUTE Laurent</t>
  </si>
  <si>
    <t>2018-02-20</t>
  </si>
  <si>
    <t>SCPI PFO2 Korboulewsky Christine</t>
  </si>
  <si>
    <t>SCPI PFO² N° 376535 M. Wuillot</t>
  </si>
  <si>
    <t>SCPI Participation Foncière Opportunité PFO</t>
  </si>
  <si>
    <t>SCPIPARTFONO</t>
  </si>
  <si>
    <t>SCPI Participation Foncière Opportunité (PFO)</t>
  </si>
  <si>
    <t>2018-01-12</t>
  </si>
  <si>
    <t>2017-09-29</t>
  </si>
  <si>
    <t>2017-04-27</t>
  </si>
  <si>
    <t>2018-01-30</t>
  </si>
  <si>
    <t>2017-11-16</t>
  </si>
  <si>
    <t>2012-10-05</t>
  </si>
  <si>
    <t xml:space="preserve">CAJ </t>
  </si>
  <si>
    <t>2017-04-11</t>
  </si>
  <si>
    <t>2018-11-30</t>
  </si>
  <si>
    <t xml:space="preserve">DOC SARL </t>
  </si>
  <si>
    <t>2016-08-24</t>
  </si>
  <si>
    <t>Giovannetti Antoine</t>
  </si>
  <si>
    <t>2018-07-20</t>
  </si>
  <si>
    <t>Giovannetti Julie</t>
  </si>
  <si>
    <t>2017-10-30</t>
  </si>
  <si>
    <t>2017-01-13</t>
  </si>
  <si>
    <t>2016-08-30</t>
  </si>
  <si>
    <t>SCPI PFO² Usufruit</t>
  </si>
  <si>
    <t xml:space="preserve">CD INVEST </t>
  </si>
  <si>
    <t>SCPI PFO² CD INVEST US - 396947/1267</t>
  </si>
  <si>
    <t>DUCOS PIERRE INVESTISSEMENT 7  2010</t>
  </si>
  <si>
    <t>2010-09-30</t>
  </si>
  <si>
    <t>SCPI Malraux-MH</t>
  </si>
  <si>
    <t>DUCOS PIERRE INVESTISSEMENT 7 2011</t>
  </si>
  <si>
    <t>2011-12-01</t>
  </si>
  <si>
    <t>SCPI Pierre Invest Docteur Patrick 1</t>
  </si>
  <si>
    <t>2010-12-17</t>
  </si>
  <si>
    <t>SCPI Pierre Invest Docteur Patrick 2</t>
  </si>
  <si>
    <t>2011-04-06</t>
  </si>
  <si>
    <t>PIERRE PLUS AUTRET</t>
  </si>
  <si>
    <t>2011-07-29</t>
  </si>
  <si>
    <t>PIERRE PLUS CASTERET</t>
  </si>
  <si>
    <t>2013-02-07</t>
  </si>
  <si>
    <t>PIERRE PLUS USUREAU</t>
  </si>
  <si>
    <t>PIERRE PLUS GAU</t>
  </si>
  <si>
    <t>PIERRE PLUS LANDET</t>
  </si>
  <si>
    <t>SCPI Réno Green</t>
  </si>
  <si>
    <t>RENOGREEN DUCOS</t>
  </si>
  <si>
    <t>SCPIRENOGREE</t>
  </si>
  <si>
    <t>SCPI RénoGreen</t>
  </si>
  <si>
    <t>2011-12-09</t>
  </si>
  <si>
    <t>SCPI Scellier BBC</t>
  </si>
  <si>
    <t>SCPI Renovalor 2</t>
  </si>
  <si>
    <t>GOUZIEN RENOVALOR</t>
  </si>
  <si>
    <t>SCRENOVALOR2</t>
  </si>
  <si>
    <t>SCPI Scellier Intermédiaire</t>
  </si>
  <si>
    <t>DUCOS JM RENOVALOR</t>
  </si>
  <si>
    <t>DUCOS Marie Francoise</t>
  </si>
  <si>
    <t>DUCOS MF RENOVALOR</t>
  </si>
  <si>
    <t>2010-10-14</t>
  </si>
  <si>
    <t>SCPI RENOVALOR2</t>
  </si>
  <si>
    <t>SCPI RENOVALOR 2 CARRERA</t>
  </si>
  <si>
    <t>XERYS 12 APR 2</t>
  </si>
  <si>
    <t>XERYS 12 JFLD</t>
  </si>
  <si>
    <t>FINXERYSSC12</t>
  </si>
  <si>
    <t>Financière Xerys SC12 - SKYTECH</t>
  </si>
  <si>
    <t>2015-11-16</t>
  </si>
  <si>
    <t>Holding ISF</t>
  </si>
  <si>
    <t>Xerys 12 M &amp; Mme Camboulive</t>
  </si>
  <si>
    <t>XERYS 12 PN</t>
  </si>
  <si>
    <t>2015-11-27</t>
  </si>
  <si>
    <t>X12-TM</t>
  </si>
  <si>
    <t>2015-05-28</t>
  </si>
  <si>
    <t>X12-JPP</t>
  </si>
  <si>
    <t>2015-05-21</t>
  </si>
  <si>
    <t>X12-MP</t>
  </si>
  <si>
    <t>X12-JP</t>
  </si>
  <si>
    <t>2015-12-18</t>
  </si>
  <si>
    <t>X12-JMR</t>
  </si>
  <si>
    <t>X12-BC</t>
  </si>
  <si>
    <t>X12-DJ</t>
  </si>
  <si>
    <t>2015-12-14</t>
  </si>
  <si>
    <t>SAMMS Lisa</t>
  </si>
  <si>
    <t>X12-LS</t>
  </si>
  <si>
    <t>2015-12-31</t>
  </si>
  <si>
    <t>YONNET Christiane</t>
  </si>
  <si>
    <t>X12-CY</t>
  </si>
  <si>
    <t>2015-05-19</t>
  </si>
  <si>
    <t>X12-RCY</t>
  </si>
  <si>
    <t>2015-12-08</t>
  </si>
  <si>
    <t>XERYS 13 - BIOLOG</t>
  </si>
  <si>
    <t>XERYS 13 PN</t>
  </si>
  <si>
    <t>FINXERYSSC13</t>
  </si>
  <si>
    <t>Financière Xerys SC13 - BIOLOG ID</t>
  </si>
  <si>
    <t>X13-TM</t>
  </si>
  <si>
    <t>X13-JPP</t>
  </si>
  <si>
    <t>X13-MP</t>
  </si>
  <si>
    <t>X13-JMR</t>
  </si>
  <si>
    <t>XERYS 13 - Bonjour JM</t>
  </si>
  <si>
    <t>XERYS 13 - Delsol Jean-Luc</t>
  </si>
  <si>
    <t>2016-05-31</t>
  </si>
  <si>
    <t>XERYS 13 - Etchevers</t>
  </si>
  <si>
    <t>2015-12-19</t>
  </si>
  <si>
    <t>X13-BC</t>
  </si>
  <si>
    <t>2015-05-27</t>
  </si>
  <si>
    <t>Xerys 13-PG</t>
  </si>
  <si>
    <t>2015-06-09</t>
  </si>
  <si>
    <t>X13-DJ</t>
  </si>
  <si>
    <t>X13-GL</t>
  </si>
  <si>
    <t>X13-LS</t>
  </si>
  <si>
    <t>X13-SLS</t>
  </si>
  <si>
    <t>2015-06-08</t>
  </si>
  <si>
    <t>X13-CS</t>
  </si>
  <si>
    <t>X13-RCY</t>
  </si>
  <si>
    <t>XERYS 14 - CRYOPUR</t>
  </si>
  <si>
    <t>X14-TM</t>
  </si>
  <si>
    <t>FINXERYSSC14</t>
  </si>
  <si>
    <t>Financière Xerys SC14 - CRYO PUR</t>
  </si>
  <si>
    <t>X14-JPP</t>
  </si>
  <si>
    <t>X14-CY</t>
  </si>
  <si>
    <t>XERYS 16 - ABD</t>
  </si>
  <si>
    <t>XERYS 16 PN</t>
  </si>
  <si>
    <t>FINXERYSSC16</t>
  </si>
  <si>
    <t>Financière Xerys SC16 – ABD</t>
  </si>
  <si>
    <t>2016-12-13</t>
  </si>
  <si>
    <t>X16-MP</t>
  </si>
  <si>
    <t>2016-05-26</t>
  </si>
  <si>
    <t>Xerys 16 Bonjour JM</t>
  </si>
  <si>
    <t>2016-12-16</t>
  </si>
  <si>
    <t>XERYS 16 - Delsol Jean-Luc</t>
  </si>
  <si>
    <t>2016-08-02</t>
  </si>
  <si>
    <t>X16-BC</t>
  </si>
  <si>
    <t>2016-12-20</t>
  </si>
  <si>
    <t>X16-DJ</t>
  </si>
  <si>
    <t>X16-GL</t>
  </si>
  <si>
    <t>X16-RCY</t>
  </si>
  <si>
    <t>XERYS 17 - POWIDIAN</t>
  </si>
  <si>
    <t>XERYS 17 RL</t>
  </si>
  <si>
    <t>Xerys 17 Powidan RONCALLI</t>
  </si>
  <si>
    <t>FINXERYSSC17</t>
  </si>
  <si>
    <t>Financière Xerys SC17 – POWIDIAN</t>
  </si>
  <si>
    <t>2017-05-25</t>
  </si>
  <si>
    <t>X17-TM</t>
  </si>
  <si>
    <t>2017-06-08</t>
  </si>
  <si>
    <t>X17-JPP</t>
  </si>
  <si>
    <t>X17-DR</t>
  </si>
  <si>
    <t>2017-05-24</t>
  </si>
  <si>
    <t>Xerys 17 - Bonjour JM</t>
  </si>
  <si>
    <t>2017-06-02</t>
  </si>
  <si>
    <t>Xerys 17 - Delsol Jean-Luc</t>
  </si>
  <si>
    <t>XERYS 17 - Powidian - BAREAU</t>
  </si>
  <si>
    <t>2017-05-15</t>
  </si>
  <si>
    <t>Xerys 17 Powidian - Docteur Patrick</t>
  </si>
  <si>
    <t>ARRIUBERGÉ Alain</t>
  </si>
  <si>
    <t>X17-AA</t>
  </si>
  <si>
    <t>X17-PB</t>
  </si>
  <si>
    <t>X17-RGC</t>
  </si>
  <si>
    <t>X17-GPL</t>
  </si>
  <si>
    <t>PICCOLO Bernard</t>
  </si>
  <si>
    <t>X17-Powidian-BP</t>
  </si>
  <si>
    <t>2017-05-23</t>
  </si>
  <si>
    <t>RENAUD Didier et Brigitte</t>
  </si>
  <si>
    <t>X17-DBR</t>
  </si>
  <si>
    <t>X17-RCY</t>
  </si>
  <si>
    <t>2017-06-06</t>
  </si>
  <si>
    <t>XERYS 18 - CRYO PUR</t>
  </si>
  <si>
    <t>X18-HI</t>
  </si>
  <si>
    <t>FINXERYSSC18</t>
  </si>
  <si>
    <t>Financière Xerys SC18 – CRYO PUR</t>
  </si>
  <si>
    <t>PAITREAULT Guillaume</t>
  </si>
  <si>
    <t>X18-GuP</t>
  </si>
  <si>
    <t>2016-11-28</t>
  </si>
  <si>
    <t>XERYS 18 PN</t>
  </si>
  <si>
    <t>2016-06-02</t>
  </si>
  <si>
    <t>X18-NM</t>
  </si>
  <si>
    <t>X18-JPP</t>
  </si>
  <si>
    <t>PEYROT Jean-Claude</t>
  </si>
  <si>
    <t>X18-JCP</t>
  </si>
  <si>
    <t>X18-DR</t>
  </si>
  <si>
    <t>2016-05-27</t>
  </si>
  <si>
    <t>XERYS 18 - Delsol Jean-Luc</t>
  </si>
  <si>
    <t>XERYS 18 - Etchevers</t>
  </si>
  <si>
    <t>2016-12-22</t>
  </si>
  <si>
    <t>XERYS 18 Cryopur - VALLY Pierre</t>
  </si>
  <si>
    <t>X18-BC</t>
  </si>
  <si>
    <t>2017-01-06</t>
  </si>
  <si>
    <t>X18-JLH</t>
  </si>
  <si>
    <t>LEMAIRE-PARIES Patricia</t>
  </si>
  <si>
    <t>X18-PL</t>
  </si>
  <si>
    <t>X18-CM</t>
  </si>
  <si>
    <t>2016-06-08</t>
  </si>
  <si>
    <t>X18-GP</t>
  </si>
  <si>
    <t>2016-12-29</t>
  </si>
  <si>
    <t>X18-LS</t>
  </si>
  <si>
    <t>2016-12-09</t>
  </si>
  <si>
    <t>X18-RCY</t>
  </si>
  <si>
    <t>2016-12-07</t>
  </si>
  <si>
    <t>XERYS 19 - CONNECTHINGS</t>
  </si>
  <si>
    <t>ISKANDAR Florence</t>
  </si>
  <si>
    <t>X19-FI</t>
  </si>
  <si>
    <t>FINXERYSSC19</t>
  </si>
  <si>
    <t>Financière Xerys SC19 – CONNECTHINGS</t>
  </si>
  <si>
    <t>X19-GuP</t>
  </si>
  <si>
    <t>X19-NM</t>
  </si>
  <si>
    <t>X19-JPP</t>
  </si>
  <si>
    <t>X19-JCP</t>
  </si>
  <si>
    <t>X19-DR</t>
  </si>
  <si>
    <t>X19-DJ</t>
  </si>
  <si>
    <t>X19-GPL</t>
  </si>
  <si>
    <t>X19-CM</t>
  </si>
  <si>
    <t>X19-LS</t>
  </si>
  <si>
    <t>2016-12-01</t>
  </si>
  <si>
    <t>X19-RCY</t>
  </si>
  <si>
    <t>XERYS 20 - APR2</t>
  </si>
  <si>
    <t>X20-NM</t>
  </si>
  <si>
    <t>FINXERYSSC20</t>
  </si>
  <si>
    <t>Financière Xerys SC20 – SKYTECH</t>
  </si>
  <si>
    <t>X20-MP</t>
  </si>
  <si>
    <t>X20-JCP</t>
  </si>
  <si>
    <t>X20-DR</t>
  </si>
  <si>
    <t>XERYS 20 - Etchevers</t>
  </si>
  <si>
    <t>Xerys 20 - APR2 Docteur Patrick</t>
  </si>
  <si>
    <t>2017-12-20</t>
  </si>
  <si>
    <t>X20-CM</t>
  </si>
  <si>
    <t>XERYS 21 - SEVENHUGS</t>
  </si>
  <si>
    <t>Xerys 21-PG</t>
  </si>
  <si>
    <t>FINXERYSSC21</t>
  </si>
  <si>
    <t>Financière Xerys SC21 – SEVENHUGS</t>
  </si>
  <si>
    <t>XERYS 22 - ABD</t>
  </si>
  <si>
    <t>XERYS 22 JC</t>
  </si>
  <si>
    <t>Xerys 22 M &amp; Mme CAMBOULIVE</t>
  </si>
  <si>
    <t>FINXERYSSC22</t>
  </si>
  <si>
    <t>Financière Xerys SC22 – ABD</t>
  </si>
  <si>
    <t>XERYS 22 RL</t>
  </si>
  <si>
    <t>X22-NM</t>
  </si>
  <si>
    <t>X22-MP</t>
  </si>
  <si>
    <t>X22-JMR</t>
  </si>
  <si>
    <t>Xerys 22 - ABD Docteur Patrick</t>
  </si>
  <si>
    <t>X22-DJ</t>
  </si>
  <si>
    <t>XERYS 23 - CONNECTINGS</t>
  </si>
  <si>
    <t>X23-GuP</t>
  </si>
  <si>
    <t>FINXERYSSC23</t>
  </si>
  <si>
    <t>Financière Xerys SC23 – CONNECTHINGS</t>
  </si>
  <si>
    <t>2017-10-11</t>
  </si>
  <si>
    <t>X23-JPP</t>
  </si>
  <si>
    <t>X23-PB</t>
  </si>
  <si>
    <t>XERYS 24 - CRYOPUR</t>
  </si>
  <si>
    <t>XERYS 24 JC</t>
  </si>
  <si>
    <t>XERYS 24 RL</t>
  </si>
  <si>
    <t>X24-JPP</t>
  </si>
  <si>
    <t>FINXERYSSC24</t>
  </si>
  <si>
    <t>Financière Xerys SC24 – CRYOPUR</t>
  </si>
  <si>
    <t>X24-DR</t>
  </si>
  <si>
    <t>Xerys 24 - Bonjour JM</t>
  </si>
  <si>
    <t>2017-12-06</t>
  </si>
  <si>
    <t>XERYS 24 CRYOPUR - BAREAU</t>
  </si>
  <si>
    <t>2017-12-05</t>
  </si>
  <si>
    <t>X24-PB</t>
  </si>
  <si>
    <t>X24-RGC</t>
  </si>
  <si>
    <t>X24-DJ</t>
  </si>
  <si>
    <t>2017-06-09</t>
  </si>
  <si>
    <t>PICCOLO Mireille</t>
  </si>
  <si>
    <t>X24-MP</t>
  </si>
  <si>
    <t>XERYS 25 - SEVENHUGS</t>
  </si>
  <si>
    <t>X25-DJ</t>
  </si>
  <si>
    <t>FINXERYSSC25</t>
  </si>
  <si>
    <t>Financière Xerys SC25 – SEVENHUGS</t>
  </si>
  <si>
    <t xml:space="preserve">BOND 40 </t>
  </si>
  <si>
    <t>XE-BOND40</t>
  </si>
  <si>
    <t>SLP Ausone</t>
  </si>
  <si>
    <t>2019-03-21</t>
  </si>
  <si>
    <t>XERYS INNOVATION I</t>
  </si>
  <si>
    <t>Xerys Innovation I - Bonjour JM</t>
  </si>
  <si>
    <t>FR0012355394</t>
  </si>
  <si>
    <t>Xerys Innovation I A A/I</t>
  </si>
  <si>
    <t>2015-06-04</t>
  </si>
  <si>
    <t>FCPI ISF</t>
  </si>
  <si>
    <t>Xerys Innovation I - BAREAU</t>
  </si>
  <si>
    <t>2015-05-05</t>
  </si>
  <si>
    <t>Xerys Innovation I - Docteur Patrick</t>
  </si>
  <si>
    <t>2015-12-22</t>
  </si>
  <si>
    <t>POTIER Raphaël</t>
  </si>
  <si>
    <t>Xerys Innovation I - POTIER</t>
  </si>
  <si>
    <t>2016-05-13</t>
  </si>
  <si>
    <t>Innov I-GPL</t>
  </si>
  <si>
    <t>2016-05-20</t>
  </si>
  <si>
    <t>PICCOLO Bernard et Mireille</t>
  </si>
  <si>
    <t>Innov I-BMP</t>
  </si>
  <si>
    <t>2016-05-24</t>
  </si>
  <si>
    <t>Innov I-DBR</t>
  </si>
  <si>
    <t>XI1 LS</t>
  </si>
  <si>
    <t>Innov I-RCY</t>
  </si>
  <si>
    <t>2016-06-07</t>
  </si>
  <si>
    <t>Xerys Innovation I</t>
  </si>
  <si>
    <t>2015-12-16</t>
  </si>
  <si>
    <t>XVC 2015-AD</t>
  </si>
  <si>
    <t>XERYSCRYOPU1</t>
  </si>
  <si>
    <t>Xerys Venture Capital (1) - CRYO PUR</t>
  </si>
  <si>
    <t>2015-12-24</t>
  </si>
  <si>
    <t>BLOTTIERE Patrick</t>
  </si>
  <si>
    <t>XVC2-Biolog-PBL</t>
  </si>
  <si>
    <t>XERYSVCBIOL2</t>
  </si>
  <si>
    <t xml:space="preserve">Xerys Venture Capital (2) - BIOLOG ID </t>
  </si>
  <si>
    <t>2017-10-18</t>
  </si>
  <si>
    <t>XVC2-HFI</t>
  </si>
  <si>
    <t>XVC2-GuP</t>
  </si>
  <si>
    <t>XVC2-TVP</t>
  </si>
  <si>
    <t>XERYS2CONNEC</t>
  </si>
  <si>
    <t>Xerys Venture Capital (2) – CONNECTHINGS</t>
  </si>
  <si>
    <t>XVC2-2015-AD</t>
  </si>
  <si>
    <t>XVC2-2016-AD</t>
  </si>
  <si>
    <t>XERYSVCAABD2</t>
  </si>
  <si>
    <t xml:space="preserve">Xerys Venture Capital (2) - ABD </t>
  </si>
  <si>
    <t>XVC2-2017-AD</t>
  </si>
  <si>
    <t>Xerys Venture Capital 2 Delsol Jean-Luc</t>
  </si>
  <si>
    <t>2016-10-26</t>
  </si>
  <si>
    <t>Xerys XVC2 - Alzprotect</t>
  </si>
  <si>
    <t>FINXERYSSC26</t>
  </si>
  <si>
    <t>Financière Xerys SC26 – ALZPROTECT</t>
  </si>
  <si>
    <t>2018-04-13</t>
  </si>
  <si>
    <t>Xerys XVC2 - Biolog JL DELSOL</t>
  </si>
  <si>
    <t>FINXERYSSC02</t>
  </si>
  <si>
    <t>Financière Xerys SC2 - BIOLOG ID</t>
  </si>
  <si>
    <t>2017-12-01</t>
  </si>
  <si>
    <t>XVC2-ABD-POW-PB</t>
  </si>
  <si>
    <t>2018-09-24</t>
  </si>
  <si>
    <t>XVC2-FB</t>
  </si>
  <si>
    <t>XVC2-Biolog-PB</t>
  </si>
  <si>
    <t>XVC2-Connecthings BC</t>
  </si>
  <si>
    <t>2017-10-13</t>
  </si>
  <si>
    <t>XVC2-Powidian BC</t>
  </si>
  <si>
    <t>2018-10-24</t>
  </si>
  <si>
    <t>XVC2-ABD-PG</t>
  </si>
  <si>
    <t>2018-09-05</t>
  </si>
  <si>
    <t>XVC2-CryoPur-PG</t>
  </si>
  <si>
    <t>GARRAS Yannick</t>
  </si>
  <si>
    <t>XVC2-ABD-CryoPur-YG</t>
  </si>
  <si>
    <t>2017-11-17</t>
  </si>
  <si>
    <t>XVC2-POWIDIAN</t>
  </si>
  <si>
    <t>XVCV2 POWIDIAN DJ</t>
  </si>
  <si>
    <t>LAFARGUE Philippe</t>
  </si>
  <si>
    <t>XVC2-PL</t>
  </si>
  <si>
    <t>XVC2-ABD-2016</t>
  </si>
  <si>
    <t>XVC2-APR2+BIOLOG-2015</t>
  </si>
  <si>
    <t>XVC2-POWIDIAN-2017</t>
  </si>
  <si>
    <t>2017-06-27</t>
  </si>
  <si>
    <t>XVC2-ALZPROTECT-2018</t>
  </si>
  <si>
    <t>XERYS2ALZPRO</t>
  </si>
  <si>
    <t>Xerys Venture Capital (2) – ALZPROTECT</t>
  </si>
  <si>
    <t>2018-11-05</t>
  </si>
  <si>
    <t>XVC2 Sevenhugs-GP</t>
  </si>
  <si>
    <t>XERYS2SEVENH</t>
  </si>
  <si>
    <t>Xerys Venture Capital (2) – SEVENHUGS</t>
  </si>
  <si>
    <t>2016-12-30</t>
  </si>
  <si>
    <t>XVC2-Alzprotect-GP</t>
  </si>
  <si>
    <t>XVC2-Biolog-GP</t>
  </si>
  <si>
    <t>XVC2-ABD-BMP</t>
  </si>
  <si>
    <t>2018-10-16</t>
  </si>
  <si>
    <t>XVC2-Biolog-BMP</t>
  </si>
  <si>
    <t>2017-11-07</t>
  </si>
  <si>
    <t>XVC2-ABD+Sevenhugs-LS</t>
  </si>
  <si>
    <t>2017-11-03</t>
  </si>
  <si>
    <t>XVC2-ALZPROTECT</t>
  </si>
  <si>
    <t>2018-10-05</t>
  </si>
  <si>
    <t>FR0010834382</t>
  </si>
  <si>
    <t>ID France Smidcaps C</t>
  </si>
  <si>
    <t>Twenty First Capital</t>
  </si>
  <si>
    <t>FR0010705277</t>
  </si>
  <si>
    <t>OTC Régions Centre Est A</t>
  </si>
  <si>
    <t>FR0010705301</t>
  </si>
  <si>
    <t>OTC Régions Centre Ouest A</t>
  </si>
  <si>
    <t>FR0010705343</t>
  </si>
  <si>
    <t>OTC Régions Sud A</t>
  </si>
  <si>
    <t>FR0011228410</t>
  </si>
  <si>
    <t>Capital Santé PME B A/I</t>
  </si>
  <si>
    <t>FR0010844977</t>
  </si>
  <si>
    <t>FCPR 123 Capitalisation A</t>
  </si>
  <si>
    <t>FR0011261197</t>
  </si>
  <si>
    <t>R-co Valor F EUR</t>
  </si>
  <si>
    <t>SICAV</t>
  </si>
  <si>
    <t>Rothschild &amp; Co Asset Management Europe</t>
  </si>
  <si>
    <t>FR0011010016</t>
  </si>
  <si>
    <t>CBT Vol 15 C</t>
  </si>
  <si>
    <t>CBT Gestion</t>
  </si>
  <si>
    <t>FR0010147603</t>
  </si>
  <si>
    <t>Carmignac Investissement Lat A EUR Acc</t>
  </si>
  <si>
    <t>Carmignac Gestion</t>
  </si>
  <si>
    <t>FR0010502393</t>
  </si>
  <si>
    <t>FIP France Alto 3 A</t>
  </si>
  <si>
    <t>Alto Invest</t>
  </si>
  <si>
    <t>LU1670724373</t>
  </si>
  <si>
    <t>M&amp;G (Lux) Optimal Income A EUR Acc</t>
  </si>
  <si>
    <t>M&amp;G Group</t>
  </si>
  <si>
    <t>FR0000045544</t>
  </si>
  <si>
    <t>CA Toulouse 31 CCI</t>
  </si>
  <si>
    <t>Euronext Paris</t>
  </si>
  <si>
    <t>LU1670710075</t>
  </si>
  <si>
    <t>M&amp;G (Lux) Glb Dividend A EUR Acc</t>
  </si>
  <si>
    <t>FR0010434019</t>
  </si>
  <si>
    <t>Echiquier Patrimoine A</t>
  </si>
  <si>
    <t>La Financière de l'Échiquier</t>
  </si>
  <si>
    <t>FR0007028907</t>
  </si>
  <si>
    <t>R-co Opal Modéré</t>
  </si>
  <si>
    <t>FR0007051040</t>
  </si>
  <si>
    <t>Eurose C</t>
  </si>
  <si>
    <t>DNCA Finance</t>
  </si>
  <si>
    <t>FR0010149120</t>
  </si>
  <si>
    <t>Carmignac Sécurité A EUR Acc</t>
  </si>
  <si>
    <t>FR0010976548</t>
  </si>
  <si>
    <t>Patrimoine &amp; Hôtel N°1 A A/I</t>
  </si>
  <si>
    <t>Extend AM</t>
  </si>
  <si>
    <t>LU0068578508</t>
  </si>
  <si>
    <t>First Eagle Amundi International AU-C</t>
  </si>
  <si>
    <t>Amundi Luxembourg</t>
  </si>
  <si>
    <t>FR0010637447</t>
  </si>
  <si>
    <t>OTC Entreprises 4 A</t>
  </si>
  <si>
    <t>FR0010653717</t>
  </si>
  <si>
    <t>NextStage Références 2008 A A/I</t>
  </si>
  <si>
    <t>FR0010105411</t>
  </si>
  <si>
    <t>123Expansion A A/I</t>
  </si>
  <si>
    <t>FR0010778308</t>
  </si>
  <si>
    <t>NextStage Découvertes 2009-2010 A A/I</t>
  </si>
  <si>
    <t>FR0010863704</t>
  </si>
  <si>
    <t>OTC Duo 2</t>
  </si>
  <si>
    <t>FR0010135103</t>
  </si>
  <si>
    <t>Carmignac Patrimoine A EUR Acc</t>
  </si>
  <si>
    <t>FR0007477146</t>
  </si>
  <si>
    <t>Amundi Global Macro 2 IC</t>
  </si>
  <si>
    <t>Amundi</t>
  </si>
  <si>
    <t>FR0007442496</t>
  </si>
  <si>
    <t>R-co Court Terme C</t>
  </si>
  <si>
    <t>FR0010459693</t>
  </si>
  <si>
    <t>EdR SICAV Start A EUR</t>
  </si>
  <si>
    <t>Edmond de Rothschild Asset Management</t>
  </si>
  <si>
    <t>LU0070302665</t>
  </si>
  <si>
    <t>Franklin Mutual US Value A acc USD</t>
  </si>
  <si>
    <t>Franklin Templeton A.M.</t>
  </si>
  <si>
    <t>FR0007025523</t>
  </si>
  <si>
    <t>R-co Opal Croissance</t>
  </si>
  <si>
    <t>FR0010642264</t>
  </si>
  <si>
    <t>OTC Chorus 3 A</t>
  </si>
  <si>
    <t>FR0010785725</t>
  </si>
  <si>
    <t>OTC Multi-Proximité 1 A</t>
  </si>
  <si>
    <t>FR0010927285</t>
  </si>
  <si>
    <t>Commerce &amp; Foncier N°1 A A/I</t>
  </si>
  <si>
    <t>FR0007050190</t>
  </si>
  <si>
    <t>DNCA Evolutif C</t>
  </si>
  <si>
    <t>FR0010573816</t>
  </si>
  <si>
    <t>A Plus Développement A A/I</t>
  </si>
  <si>
    <t>A Plus Finance</t>
  </si>
  <si>
    <t>FR0011089259</t>
  </si>
  <si>
    <t>FIP 123Patrimoine A A/I</t>
  </si>
  <si>
    <t>FR0010653055</t>
  </si>
  <si>
    <t>A Plus Innovation 8 A A/I</t>
  </si>
  <si>
    <t>FR0010653097</t>
  </si>
  <si>
    <t>A Plus Proximité 3 A A/I</t>
  </si>
  <si>
    <t>FR0011294131</t>
  </si>
  <si>
    <t>FCPI Made In France 2012 A A/I</t>
  </si>
  <si>
    <t>Inocap</t>
  </si>
  <si>
    <t>FR0011294164</t>
  </si>
  <si>
    <t>Hôtel &amp; Commerce N°2 A A/I</t>
  </si>
  <si>
    <t>FR0010922682</t>
  </si>
  <si>
    <t>Inocap FCPI 10.4. A A/I</t>
  </si>
  <si>
    <t>FR0010719369</t>
  </si>
  <si>
    <t>A Plus Développement 2 A A/I</t>
  </si>
  <si>
    <t>FR0010501908</t>
  </si>
  <si>
    <t>OTC Chorus 2 A</t>
  </si>
  <si>
    <t>FR0012891463</t>
  </si>
  <si>
    <t>FIP 123 France Opportunités</t>
  </si>
  <si>
    <t>FR0013041696</t>
  </si>
  <si>
    <t>FIP 123France Opportunités II A A/I</t>
  </si>
  <si>
    <t>FR0013067055</t>
  </si>
  <si>
    <t>FCPI QI 2016 A A/I</t>
  </si>
  <si>
    <t>FR0013281193</t>
  </si>
  <si>
    <t>Wise3</t>
  </si>
  <si>
    <t>FR0007386313</t>
  </si>
  <si>
    <t>SLGP Short Bonds P</t>
  </si>
  <si>
    <t>SwissLife Gestion Privée</t>
  </si>
  <si>
    <t>FR0013428588</t>
  </si>
  <si>
    <t>SLGP SHORT BOND P CANTONNEMENT</t>
  </si>
  <si>
    <t>FR0010424135</t>
  </si>
  <si>
    <t>Lyxor EuroStoxx50 Dly -1x Inv ETF Acc</t>
  </si>
  <si>
    <t>Lyxor International Asset Management</t>
  </si>
  <si>
    <t>FR0000295230</t>
  </si>
  <si>
    <t>Renaissance Europe C</t>
  </si>
  <si>
    <t>Comgest</t>
  </si>
  <si>
    <t>FR0010645515</t>
  </si>
  <si>
    <t>SLF (F) Equity Euro Zone Minimum Vol P</t>
  </si>
  <si>
    <t>SwissLife AM (France)</t>
  </si>
  <si>
    <t>FR0010753608</t>
  </si>
  <si>
    <t>Mandarine Reflex R</t>
  </si>
  <si>
    <t>Mandarine Gestion</t>
  </si>
  <si>
    <t>FR0010291187</t>
  </si>
  <si>
    <t>Apprécio E (EUR)</t>
  </si>
  <si>
    <t>LU1582988058</t>
  </si>
  <si>
    <t>M&amp;G (Lux) Dynamic Allocation A EUR Acc</t>
  </si>
  <si>
    <t>ALM ES DNCA Evolutif</t>
  </si>
  <si>
    <t>FR0007494703</t>
  </si>
  <si>
    <t>ALM Actions Europe ISR IC</t>
  </si>
  <si>
    <t>AG2R La Mondiale Gestion d'Actifs</t>
  </si>
  <si>
    <t>ALM ES R VALOR A</t>
  </si>
  <si>
    <t>ALM ES DYNAMIC</t>
  </si>
  <si>
    <t>code isin FR</t>
  </si>
  <si>
    <t>FCPR Entrepreneurs &amp; Rendement N°3 – I</t>
  </si>
  <si>
    <t>QS0002105K28</t>
  </si>
  <si>
    <t>AXA Génération Euro Obligations 2</t>
  </si>
  <si>
    <t>QS0002105K44</t>
  </si>
  <si>
    <t>AXA Génération Europe Actions 2</t>
  </si>
  <si>
    <t>QS0002105K69</t>
  </si>
  <si>
    <t>AXA Génération Solidaire 2</t>
  </si>
  <si>
    <t>QS0002105K85</t>
  </si>
  <si>
    <t>AXA Génération Tempéré Solidaire 2</t>
  </si>
  <si>
    <t>QS0002105LA8</t>
  </si>
  <si>
    <t>AXA Génération Vitalité 2</t>
  </si>
  <si>
    <t>QS0002105MM1</t>
  </si>
  <si>
    <t>Capital France Actions</t>
  </si>
  <si>
    <t>FR0013085008</t>
  </si>
  <si>
    <t>Capital Actifs 2016 B A/I</t>
  </si>
  <si>
    <t>FR0011199264</t>
  </si>
  <si>
    <t>Capital Santé PME A A/I</t>
  </si>
  <si>
    <t>FR0011289081</t>
  </si>
  <si>
    <t>Performance Export A A/I</t>
  </si>
  <si>
    <t>FR0011753839</t>
  </si>
  <si>
    <t>FCPI Santé &amp; Digital A A/I</t>
  </si>
  <si>
    <t>FR0011532019</t>
  </si>
  <si>
    <t>France Excellence A A/I</t>
  </si>
  <si>
    <t>CLUBDEALIR16</t>
  </si>
  <si>
    <t>Club Deal IR 2016</t>
  </si>
  <si>
    <t>FR0007075155</t>
  </si>
  <si>
    <t>R-co Opal Europe Spécial</t>
  </si>
  <si>
    <t>FR0007076930</t>
  </si>
  <si>
    <t>Centifolia C A/I</t>
  </si>
  <si>
    <t>FR0007065743</t>
  </si>
  <si>
    <t>Sycomore Francecap A</t>
  </si>
  <si>
    <t>Sycomore Asset Management</t>
  </si>
  <si>
    <t>FR0010111732</t>
  </si>
  <si>
    <t>Sycomore Francecap R</t>
  </si>
  <si>
    <t>QS0007008509</t>
  </si>
  <si>
    <t>R &amp; A</t>
  </si>
  <si>
    <t>FR0000120073</t>
  </si>
  <si>
    <t>Air Liquide</t>
  </si>
  <si>
    <t>FR0000120271</t>
  </si>
  <si>
    <t>Total</t>
  </si>
  <si>
    <t>FR0000120321</t>
  </si>
  <si>
    <t>L'Oreal</t>
  </si>
  <si>
    <t>FR0000120404</t>
  </si>
  <si>
    <t>Accor</t>
  </si>
  <si>
    <t>FR0000120578</t>
  </si>
  <si>
    <t>Sanofi-Aventis</t>
  </si>
  <si>
    <t>FR0000121014</t>
  </si>
  <si>
    <t>LVMH Moet Vuitton</t>
  </si>
  <si>
    <t>FR0000121667</t>
  </si>
  <si>
    <t>Essilor International</t>
  </si>
  <si>
    <t>FR0000125486</t>
  </si>
  <si>
    <t>Vinci</t>
  </si>
  <si>
    <t>XERYSAPR2XXX</t>
  </si>
  <si>
    <t>Xerys Entreprises – APR2</t>
  </si>
  <si>
    <t>XENTRCRYOPUR</t>
  </si>
  <si>
    <t>Xerys Entreprises – CRYO PUR</t>
  </si>
  <si>
    <t>XENTREPRPOWI</t>
  </si>
  <si>
    <t>Xerys Entreprises – POWIDIAN</t>
  </si>
  <si>
    <t>XENTRALZPR18</t>
  </si>
  <si>
    <t>Xerys Entreprises – ALZPROTECT 2018</t>
  </si>
  <si>
    <t>XENTREPRAPR2</t>
  </si>
  <si>
    <t>Xerys Entreprises – SKYTECH</t>
  </si>
  <si>
    <t>XENTREPRIABD</t>
  </si>
  <si>
    <t>Xerys Entreprises – ABD</t>
  </si>
  <si>
    <t>XENTRCONNECT</t>
  </si>
  <si>
    <t>Xerys Entreprises – CONNECTHINGS</t>
  </si>
  <si>
    <t>SEVENHUGS18X</t>
  </si>
  <si>
    <t>Xerys Venture Capital (2) – SEVENHUGS 2018</t>
  </si>
  <si>
    <t>La Française AM</t>
  </si>
  <si>
    <t>Sélection 1818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</si>
</sst>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* #,##0.00_)\ &quot;€&quot;_ ;_ * \(#,##0.00\)\ &quot;€&quot;_ ;_ * &quot;-&quot;??_)\ &quot;€&quot;_ ;_ @_ "/>
    <numFmt numFmtId="43" formatCode="_ * #,##0.00_)_ ;_ * \(#,##0.00\)_ ;_ * &quot;-&quot;??_)_ ;_ @_ 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4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3" fontId="0" fillId="0" borderId="0" xfId="2" applyNumberFormat="1" applyFont="1"/>
    <xf numFmtId="3" fontId="0" fillId="0" borderId="1" xfId="0" applyNumberFormat="1" applyBorder="1"/>
    <xf numFmtId="43" fontId="0" fillId="0" borderId="0" xfId="1" applyFont="1"/>
  </cellXfs>
  <cellStyles count="3">
    <cellStyle name="Milliers" xfId="1" builtinId="3"/>
    <cellStyle name="Monétaire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4637-0E22-1C48-AD29-CEF9F59CD97B}">
  <dimension ref="A1:W907"/>
  <sheetViews>
    <sheetView tabSelected="1" topLeftCell="A11" workbookViewId="0">
      <selection activeCell="V45" sqref="V45"/>
    </sheetView>
  </sheetViews>
  <sheetFormatPr baseColWidth="10" defaultRowHeight="16" x14ac:dyDescent="0.2"/>
  <cols>
    <col min="1" max="1" width="26" bestFit="1" customWidth="1"/>
    <col min="8" max="8" width="12.5" customWidth="1"/>
    <col min="13" max="13" width="12.5" customWidth="1"/>
    <col min="14" max="14" width="13.33203125" customWidth="1"/>
    <col min="20" max="20" width="26" bestFit="1" customWidth="1"/>
    <col min="21" max="22" width="14.1640625" style="6" bestFit="1" customWidth="1"/>
    <col min="23" max="23" width="14.83203125" style="6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  <c r="P1" t="s">
        <v>15</v>
      </c>
      <c r="T1" s="3" t="s">
        <v>0</v>
      </c>
      <c r="U1" s="3" t="s">
        <v>7</v>
      </c>
      <c r="V1" s="3" t="s">
        <v>12</v>
      </c>
      <c r="W1" s="3" t="s">
        <v>13</v>
      </c>
    </row>
    <row r="2" spans="1:23" x14ac:dyDescent="0.2">
      <c r="A2" s="2" t="s">
        <v>16</v>
      </c>
      <c r="B2" t="s">
        <v>17</v>
      </c>
      <c r="C2" t="s">
        <v>18</v>
      </c>
      <c r="D2">
        <v>314791401</v>
      </c>
      <c r="E2" t="s">
        <v>19</v>
      </c>
      <c r="F2" t="s">
        <v>20</v>
      </c>
      <c r="G2" t="s">
        <v>21</v>
      </c>
      <c r="H2" s="1">
        <v>0</v>
      </c>
      <c r="I2" t="s">
        <v>22</v>
      </c>
      <c r="J2" t="s">
        <v>23</v>
      </c>
      <c r="L2" t="s">
        <v>24</v>
      </c>
      <c r="M2" s="1">
        <v>7689805</v>
      </c>
      <c r="N2" s="1">
        <v>-7689805</v>
      </c>
      <c r="O2" t="s">
        <v>25</v>
      </c>
      <c r="P2" t="s">
        <v>26</v>
      </c>
      <c r="T2" t="s">
        <v>415</v>
      </c>
      <c r="U2" s="4">
        <f t="shared" ref="U2:U22" ca="1" si="0">SUMIF($A:$N,$T2,H:H)</f>
        <v>211676</v>
      </c>
      <c r="V2" s="4">
        <f t="shared" ref="V2:W22" ca="1" si="1">SUMIF($A:$N,$T2,M:M)</f>
        <v>0</v>
      </c>
      <c r="W2" s="4">
        <f t="shared" ca="1" si="1"/>
        <v>0</v>
      </c>
    </row>
    <row r="3" spans="1:23" x14ac:dyDescent="0.2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s="1">
        <v>2000000</v>
      </c>
      <c r="I3" t="s">
        <v>34</v>
      </c>
      <c r="J3" t="s">
        <v>35</v>
      </c>
      <c r="L3" t="s">
        <v>27</v>
      </c>
      <c r="M3" s="1">
        <v>2000000</v>
      </c>
      <c r="N3" s="1">
        <v>0</v>
      </c>
      <c r="O3" t="s">
        <v>36</v>
      </c>
      <c r="P3" t="s">
        <v>26</v>
      </c>
      <c r="T3" t="s">
        <v>887</v>
      </c>
      <c r="U3" s="4">
        <f t="shared" ca="1" si="0"/>
        <v>701735.24000000011</v>
      </c>
      <c r="V3" s="4">
        <f t="shared" ca="1" si="1"/>
        <v>0</v>
      </c>
      <c r="W3" s="4">
        <f t="shared" ca="1" si="1"/>
        <v>0</v>
      </c>
    </row>
    <row r="4" spans="1:23" x14ac:dyDescent="0.2">
      <c r="A4" t="s">
        <v>27</v>
      </c>
      <c r="B4" t="s">
        <v>28</v>
      </c>
      <c r="C4" t="s">
        <v>37</v>
      </c>
      <c r="D4">
        <v>457387</v>
      </c>
      <c r="E4" t="s">
        <v>38</v>
      </c>
      <c r="F4" t="s">
        <v>32</v>
      </c>
      <c r="G4" t="s">
        <v>33</v>
      </c>
      <c r="H4" s="1">
        <v>1000000</v>
      </c>
      <c r="I4" t="s">
        <v>39</v>
      </c>
      <c r="J4" t="s">
        <v>35</v>
      </c>
      <c r="L4" t="s">
        <v>27</v>
      </c>
      <c r="M4" s="1">
        <v>1000000</v>
      </c>
      <c r="N4" s="1">
        <v>0</v>
      </c>
      <c r="O4" t="s">
        <v>36</v>
      </c>
      <c r="P4" t="s">
        <v>26</v>
      </c>
      <c r="T4" t="s">
        <v>453</v>
      </c>
      <c r="U4" s="4">
        <f t="shared" ca="1" si="0"/>
        <v>12514.99</v>
      </c>
      <c r="V4" s="4">
        <f t="shared" ca="1" si="1"/>
        <v>0</v>
      </c>
      <c r="W4" s="4">
        <f t="shared" ca="1" si="1"/>
        <v>0</v>
      </c>
    </row>
    <row r="5" spans="1:23" x14ac:dyDescent="0.2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s="1">
        <v>740000</v>
      </c>
      <c r="I5" t="s">
        <v>47</v>
      </c>
      <c r="J5" t="s">
        <v>23</v>
      </c>
      <c r="L5" t="s">
        <v>48</v>
      </c>
      <c r="M5" s="1">
        <v>740000</v>
      </c>
      <c r="N5" s="1">
        <v>0</v>
      </c>
      <c r="O5" t="s">
        <v>49</v>
      </c>
      <c r="P5" t="s">
        <v>26</v>
      </c>
      <c r="T5" t="s">
        <v>295</v>
      </c>
      <c r="U5" s="4">
        <f t="shared" ca="1" si="0"/>
        <v>419065.36000000004</v>
      </c>
      <c r="V5" s="4">
        <f t="shared" ca="1" si="1"/>
        <v>32846.6</v>
      </c>
      <c r="W5" s="4">
        <f t="shared" ca="1" si="1"/>
        <v>0</v>
      </c>
    </row>
    <row r="6" spans="1:23" x14ac:dyDescent="0.2">
      <c r="A6" t="s">
        <v>50</v>
      </c>
      <c r="B6" t="s">
        <v>51</v>
      </c>
      <c r="C6" t="s">
        <v>52</v>
      </c>
      <c r="D6">
        <v>53700007260</v>
      </c>
      <c r="E6" t="s">
        <v>44</v>
      </c>
      <c r="F6" t="s">
        <v>53</v>
      </c>
      <c r="G6" t="s">
        <v>54</v>
      </c>
      <c r="H6" s="1">
        <v>93313.7</v>
      </c>
      <c r="I6" t="s">
        <v>55</v>
      </c>
      <c r="J6" t="s">
        <v>56</v>
      </c>
      <c r="L6" t="s">
        <v>40</v>
      </c>
      <c r="M6" s="1">
        <v>698146.81</v>
      </c>
      <c r="N6" s="1">
        <v>-738699.12</v>
      </c>
      <c r="O6" t="s">
        <v>57</v>
      </c>
      <c r="P6" t="s">
        <v>26</v>
      </c>
      <c r="T6" t="s">
        <v>141</v>
      </c>
      <c r="U6" s="4">
        <f t="shared" ca="1" si="0"/>
        <v>7640168.3999999985</v>
      </c>
      <c r="V6" s="4">
        <f t="shared" ca="1" si="1"/>
        <v>886415.63</v>
      </c>
      <c r="W6" s="4">
        <f t="shared" ca="1" si="1"/>
        <v>0</v>
      </c>
    </row>
    <row r="7" spans="1:23" x14ac:dyDescent="0.2">
      <c r="A7" t="s">
        <v>16</v>
      </c>
      <c r="B7" t="s">
        <v>58</v>
      </c>
      <c r="C7" t="s">
        <v>59</v>
      </c>
      <c r="D7">
        <v>314794001</v>
      </c>
      <c r="E7" t="s">
        <v>31</v>
      </c>
      <c r="F7" t="s">
        <v>20</v>
      </c>
      <c r="G7" t="s">
        <v>21</v>
      </c>
      <c r="H7" s="1">
        <v>11</v>
      </c>
      <c r="I7" t="s">
        <v>60</v>
      </c>
      <c r="J7" t="s">
        <v>23</v>
      </c>
      <c r="L7" t="s">
        <v>24</v>
      </c>
      <c r="M7" s="1">
        <v>660011</v>
      </c>
      <c r="N7" s="1">
        <v>-660000</v>
      </c>
      <c r="O7" t="s">
        <v>57</v>
      </c>
      <c r="P7" t="s">
        <v>26</v>
      </c>
      <c r="T7" t="s">
        <v>27</v>
      </c>
      <c r="U7" s="4">
        <f t="shared" ca="1" si="0"/>
        <v>15364854.6</v>
      </c>
      <c r="V7" s="4">
        <f t="shared" ca="1" si="1"/>
        <v>7630000</v>
      </c>
      <c r="W7" s="4">
        <f t="shared" ca="1" si="1"/>
        <v>0</v>
      </c>
    </row>
    <row r="8" spans="1:23" x14ac:dyDescent="0.2">
      <c r="A8" t="s">
        <v>40</v>
      </c>
      <c r="B8" t="s">
        <v>41</v>
      </c>
      <c r="C8" t="s">
        <v>61</v>
      </c>
      <c r="D8" t="s">
        <v>62</v>
      </c>
      <c r="E8" t="s">
        <v>44</v>
      </c>
      <c r="F8" t="s">
        <v>45</v>
      </c>
      <c r="G8" t="s">
        <v>46</v>
      </c>
      <c r="H8" s="1">
        <v>500000</v>
      </c>
      <c r="I8" t="s">
        <v>63</v>
      </c>
      <c r="J8" t="s">
        <v>23</v>
      </c>
      <c r="L8" t="s">
        <v>48</v>
      </c>
      <c r="M8" s="1">
        <v>500000</v>
      </c>
      <c r="N8" s="1">
        <v>0</v>
      </c>
      <c r="O8" t="s">
        <v>49</v>
      </c>
      <c r="P8" t="s">
        <v>26</v>
      </c>
      <c r="T8" t="s">
        <v>612</v>
      </c>
      <c r="U8" s="4">
        <f t="shared" ca="1" si="0"/>
        <v>64398.32</v>
      </c>
      <c r="V8" s="4">
        <f t="shared" ca="1" si="1"/>
        <v>0</v>
      </c>
      <c r="W8" s="4">
        <f t="shared" ca="1" si="1"/>
        <v>0</v>
      </c>
    </row>
    <row r="9" spans="1:23" x14ac:dyDescent="0.2">
      <c r="A9" t="s">
        <v>40</v>
      </c>
      <c r="B9" t="s">
        <v>64</v>
      </c>
      <c r="C9" t="s">
        <v>65</v>
      </c>
      <c r="D9" t="s">
        <v>66</v>
      </c>
      <c r="E9" t="s">
        <v>67</v>
      </c>
      <c r="F9" t="s">
        <v>45</v>
      </c>
      <c r="G9" t="s">
        <v>46</v>
      </c>
      <c r="H9" s="1">
        <v>500000</v>
      </c>
      <c r="I9" t="s">
        <v>68</v>
      </c>
      <c r="J9" t="s">
        <v>23</v>
      </c>
      <c r="L9" t="s">
        <v>48</v>
      </c>
      <c r="M9" s="1">
        <v>500000</v>
      </c>
      <c r="N9" s="1">
        <v>0</v>
      </c>
      <c r="O9" t="s">
        <v>49</v>
      </c>
      <c r="P9" t="s">
        <v>26</v>
      </c>
      <c r="T9" t="s">
        <v>166</v>
      </c>
      <c r="U9" s="4">
        <f t="shared" ca="1" si="0"/>
        <v>300000</v>
      </c>
      <c r="V9" s="4">
        <f t="shared" ca="1" si="1"/>
        <v>300000</v>
      </c>
      <c r="W9" s="4">
        <f t="shared" ca="1" si="1"/>
        <v>0</v>
      </c>
    </row>
    <row r="10" spans="1:23" x14ac:dyDescent="0.2">
      <c r="A10" t="s">
        <v>40</v>
      </c>
      <c r="B10" t="s">
        <v>64</v>
      </c>
      <c r="C10" t="s">
        <v>69</v>
      </c>
      <c r="D10" t="s">
        <v>70</v>
      </c>
      <c r="E10" t="s">
        <v>71</v>
      </c>
      <c r="F10" t="s">
        <v>45</v>
      </c>
      <c r="G10" t="s">
        <v>46</v>
      </c>
      <c r="H10" s="1">
        <v>500000</v>
      </c>
      <c r="I10" t="s">
        <v>68</v>
      </c>
      <c r="J10" t="s">
        <v>23</v>
      </c>
      <c r="L10" t="s">
        <v>48</v>
      </c>
      <c r="M10" s="1">
        <v>500000</v>
      </c>
      <c r="N10" s="1">
        <v>0</v>
      </c>
      <c r="O10" t="s">
        <v>49</v>
      </c>
      <c r="P10" t="s">
        <v>26</v>
      </c>
      <c r="T10" t="s">
        <v>669</v>
      </c>
      <c r="U10" s="4">
        <f t="shared" ca="1" si="0"/>
        <v>69969</v>
      </c>
      <c r="V10" s="4">
        <f t="shared" ca="1" si="1"/>
        <v>0</v>
      </c>
      <c r="W10" s="4">
        <f t="shared" ca="1" si="1"/>
        <v>0</v>
      </c>
    </row>
    <row r="11" spans="1:23" x14ac:dyDescent="0.2">
      <c r="A11" t="s">
        <v>16</v>
      </c>
      <c r="B11" t="s">
        <v>58</v>
      </c>
      <c r="C11" t="s">
        <v>72</v>
      </c>
      <c r="D11">
        <v>314403701</v>
      </c>
      <c r="E11" t="s">
        <v>38</v>
      </c>
      <c r="F11" t="s">
        <v>20</v>
      </c>
      <c r="G11" t="s">
        <v>21</v>
      </c>
      <c r="H11" s="1">
        <v>0</v>
      </c>
      <c r="I11" t="s">
        <v>73</v>
      </c>
      <c r="J11" t="s">
        <v>23</v>
      </c>
      <c r="L11" t="s">
        <v>24</v>
      </c>
      <c r="M11" s="1">
        <v>500000</v>
      </c>
      <c r="N11" s="1">
        <v>-500000</v>
      </c>
      <c r="O11" t="s">
        <v>57</v>
      </c>
      <c r="P11" t="s">
        <v>26</v>
      </c>
      <c r="T11" t="s">
        <v>278</v>
      </c>
      <c r="U11" s="4">
        <f t="shared" ca="1" si="0"/>
        <v>1086210.1000000001</v>
      </c>
      <c r="V11" s="4">
        <f t="shared" ca="1" si="1"/>
        <v>45000</v>
      </c>
      <c r="W11" s="4">
        <f t="shared" ca="1" si="1"/>
        <v>0</v>
      </c>
    </row>
    <row r="12" spans="1:23" x14ac:dyDescent="0.2">
      <c r="A12" t="s">
        <v>27</v>
      </c>
      <c r="B12" t="s">
        <v>28</v>
      </c>
      <c r="C12" t="s">
        <v>74</v>
      </c>
      <c r="D12">
        <v>543021</v>
      </c>
      <c r="E12" t="s">
        <v>75</v>
      </c>
      <c r="F12" t="s">
        <v>32</v>
      </c>
      <c r="G12" t="s">
        <v>33</v>
      </c>
      <c r="H12" s="1">
        <v>500000</v>
      </c>
      <c r="I12" t="s">
        <v>76</v>
      </c>
      <c r="J12" t="s">
        <v>35</v>
      </c>
      <c r="L12" t="s">
        <v>27</v>
      </c>
      <c r="M12" s="1">
        <v>500000</v>
      </c>
      <c r="N12" s="1">
        <v>0</v>
      </c>
      <c r="O12" t="s">
        <v>36</v>
      </c>
      <c r="P12" t="s">
        <v>26</v>
      </c>
      <c r="T12" t="s">
        <v>603</v>
      </c>
      <c r="U12" s="4">
        <f t="shared" ca="1" si="0"/>
        <v>598140.5</v>
      </c>
      <c r="V12" s="4">
        <f t="shared" ca="1" si="1"/>
        <v>0</v>
      </c>
      <c r="W12" s="4">
        <f t="shared" ca="1" si="1"/>
        <v>0</v>
      </c>
    </row>
    <row r="13" spans="1:23" x14ac:dyDescent="0.2">
      <c r="A13" t="s">
        <v>27</v>
      </c>
      <c r="B13" t="s">
        <v>28</v>
      </c>
      <c r="C13" t="s">
        <v>77</v>
      </c>
      <c r="D13">
        <v>229484</v>
      </c>
      <c r="E13" t="s">
        <v>75</v>
      </c>
      <c r="F13" t="s">
        <v>32</v>
      </c>
      <c r="G13" t="s">
        <v>33</v>
      </c>
      <c r="H13" s="1">
        <v>500000</v>
      </c>
      <c r="I13" t="s">
        <v>78</v>
      </c>
      <c r="J13" t="s">
        <v>35</v>
      </c>
      <c r="L13" t="s">
        <v>27</v>
      </c>
      <c r="M13" s="1">
        <v>500000</v>
      </c>
      <c r="N13" s="1">
        <v>0</v>
      </c>
      <c r="O13" t="s">
        <v>36</v>
      </c>
      <c r="P13" t="s">
        <v>26</v>
      </c>
      <c r="T13" t="s">
        <v>1700</v>
      </c>
      <c r="U13" s="4">
        <f t="shared" ca="1" si="0"/>
        <v>39380.400000000001</v>
      </c>
      <c r="V13" s="4">
        <f t="shared" ca="1" si="1"/>
        <v>0</v>
      </c>
      <c r="W13" s="4">
        <f t="shared" ca="1" si="1"/>
        <v>0</v>
      </c>
    </row>
    <row r="14" spans="1:23" x14ac:dyDescent="0.2">
      <c r="A14" t="s">
        <v>27</v>
      </c>
      <c r="B14" t="s">
        <v>28</v>
      </c>
      <c r="C14" t="s">
        <v>79</v>
      </c>
      <c r="D14">
        <v>236238</v>
      </c>
      <c r="E14" t="s">
        <v>75</v>
      </c>
      <c r="F14" t="s">
        <v>80</v>
      </c>
      <c r="G14" t="s">
        <v>81</v>
      </c>
      <c r="H14" s="1">
        <v>500000</v>
      </c>
      <c r="I14" t="s">
        <v>82</v>
      </c>
      <c r="J14" t="s">
        <v>83</v>
      </c>
      <c r="L14" t="s">
        <v>27</v>
      </c>
      <c r="M14" s="1">
        <v>500000</v>
      </c>
      <c r="N14" s="1">
        <v>0</v>
      </c>
      <c r="O14" t="s">
        <v>36</v>
      </c>
      <c r="P14" t="s">
        <v>26</v>
      </c>
      <c r="T14" t="s">
        <v>663</v>
      </c>
      <c r="U14" s="4">
        <f t="shared" ca="1" si="0"/>
        <v>67432.5</v>
      </c>
      <c r="V14" s="4">
        <f t="shared" ca="1" si="1"/>
        <v>0</v>
      </c>
      <c r="W14" s="4">
        <f t="shared" ca="1" si="1"/>
        <v>0</v>
      </c>
    </row>
    <row r="15" spans="1:23" x14ac:dyDescent="0.2">
      <c r="A15" t="s">
        <v>27</v>
      </c>
      <c r="B15" t="s">
        <v>28</v>
      </c>
      <c r="C15" t="s">
        <v>79</v>
      </c>
      <c r="D15">
        <v>442011</v>
      </c>
      <c r="E15" t="s">
        <v>75</v>
      </c>
      <c r="F15" t="s">
        <v>32</v>
      </c>
      <c r="G15" t="s">
        <v>33</v>
      </c>
      <c r="H15" s="1">
        <v>500000</v>
      </c>
      <c r="I15" t="s">
        <v>82</v>
      </c>
      <c r="J15" t="s">
        <v>35</v>
      </c>
      <c r="L15" t="s">
        <v>27</v>
      </c>
      <c r="M15" s="1">
        <v>500000</v>
      </c>
      <c r="N15" s="1">
        <v>0</v>
      </c>
      <c r="O15" t="s">
        <v>36</v>
      </c>
      <c r="P15" t="s">
        <v>26</v>
      </c>
      <c r="T15" t="s">
        <v>366</v>
      </c>
      <c r="U15" s="4">
        <f t="shared" ca="1" si="0"/>
        <v>1259852.1599999999</v>
      </c>
      <c r="V15" s="4">
        <f t="shared" ca="1" si="1"/>
        <v>4080</v>
      </c>
      <c r="W15" s="4">
        <f t="shared" ca="1" si="1"/>
        <v>0</v>
      </c>
    </row>
    <row r="16" spans="1:23" x14ac:dyDescent="0.2">
      <c r="A16" t="s">
        <v>40</v>
      </c>
      <c r="B16" t="s">
        <v>64</v>
      </c>
      <c r="C16" t="s">
        <v>84</v>
      </c>
      <c r="D16" t="s">
        <v>85</v>
      </c>
      <c r="H16" s="1">
        <v>500000</v>
      </c>
      <c r="M16" s="1">
        <v>500000</v>
      </c>
      <c r="N16" s="1">
        <v>0</v>
      </c>
      <c r="O16" t="s">
        <v>49</v>
      </c>
      <c r="P16" t="s">
        <v>26</v>
      </c>
      <c r="T16" t="s">
        <v>50</v>
      </c>
      <c r="U16" s="4">
        <f t="shared" ca="1" si="0"/>
        <v>3718902.6199999996</v>
      </c>
      <c r="V16" s="4">
        <f t="shared" ca="1" si="1"/>
        <v>807734.82000000007</v>
      </c>
      <c r="W16" s="4">
        <f t="shared" ca="1" si="1"/>
        <v>-1572944.5999999999</v>
      </c>
    </row>
    <row r="17" spans="1:23" x14ac:dyDescent="0.2">
      <c r="A17" t="s">
        <v>40</v>
      </c>
      <c r="B17" t="s">
        <v>64</v>
      </c>
      <c r="C17" t="s">
        <v>86</v>
      </c>
      <c r="D17" t="s">
        <v>87</v>
      </c>
      <c r="H17" s="1">
        <v>500000</v>
      </c>
      <c r="M17" s="1">
        <v>500000</v>
      </c>
      <c r="N17" s="1">
        <v>0</v>
      </c>
      <c r="O17" t="s">
        <v>49</v>
      </c>
      <c r="P17" t="s">
        <v>26</v>
      </c>
      <c r="T17" t="s">
        <v>1066</v>
      </c>
      <c r="U17" s="4">
        <f t="shared" ca="1" si="0"/>
        <v>475199</v>
      </c>
      <c r="V17" s="4">
        <f t="shared" ca="1" si="1"/>
        <v>0</v>
      </c>
      <c r="W17" s="4">
        <f t="shared" ca="1" si="1"/>
        <v>0</v>
      </c>
    </row>
    <row r="18" spans="1:23" x14ac:dyDescent="0.2">
      <c r="A18" t="s">
        <v>16</v>
      </c>
      <c r="B18" t="s">
        <v>58</v>
      </c>
      <c r="C18" t="s">
        <v>88</v>
      </c>
      <c r="D18">
        <v>314861301</v>
      </c>
      <c r="E18" t="s">
        <v>19</v>
      </c>
      <c r="F18" t="s">
        <v>20</v>
      </c>
      <c r="G18" t="s">
        <v>21</v>
      </c>
      <c r="H18" s="1">
        <v>223041</v>
      </c>
      <c r="I18" t="s">
        <v>89</v>
      </c>
      <c r="J18" t="s">
        <v>23</v>
      </c>
      <c r="L18" t="s">
        <v>24</v>
      </c>
      <c r="M18" s="1">
        <v>475540.88</v>
      </c>
      <c r="N18" s="1">
        <v>-252500</v>
      </c>
      <c r="O18" t="s">
        <v>57</v>
      </c>
      <c r="P18" t="s">
        <v>26</v>
      </c>
      <c r="T18" t="s">
        <v>110</v>
      </c>
      <c r="U18" s="4">
        <f t="shared" ca="1" si="0"/>
        <v>5757929.0100000007</v>
      </c>
      <c r="V18" s="4">
        <f t="shared" ca="1" si="1"/>
        <v>632020</v>
      </c>
      <c r="W18" s="4">
        <f t="shared" ca="1" si="1"/>
        <v>-15000</v>
      </c>
    </row>
    <row r="19" spans="1:23" x14ac:dyDescent="0.2">
      <c r="A19" t="s">
        <v>40</v>
      </c>
      <c r="B19" t="s">
        <v>41</v>
      </c>
      <c r="C19" t="s">
        <v>90</v>
      </c>
      <c r="D19" t="s">
        <v>91</v>
      </c>
      <c r="E19" t="s">
        <v>71</v>
      </c>
      <c r="F19" t="s">
        <v>92</v>
      </c>
      <c r="G19" t="s">
        <v>93</v>
      </c>
      <c r="H19" s="1">
        <v>400000</v>
      </c>
      <c r="I19" t="s">
        <v>60</v>
      </c>
      <c r="J19" t="s">
        <v>94</v>
      </c>
      <c r="L19" t="s">
        <v>40</v>
      </c>
      <c r="M19" s="1">
        <v>400000</v>
      </c>
      <c r="N19" s="1">
        <v>0</v>
      </c>
      <c r="O19" t="s">
        <v>49</v>
      </c>
      <c r="P19" t="s">
        <v>26</v>
      </c>
      <c r="T19" t="s">
        <v>1701</v>
      </c>
      <c r="U19" s="4">
        <f t="shared" ca="1" si="0"/>
        <v>71483.48</v>
      </c>
      <c r="V19" s="4">
        <f t="shared" ca="1" si="1"/>
        <v>0</v>
      </c>
      <c r="W19" s="4">
        <f t="shared" ca="1" si="1"/>
        <v>0</v>
      </c>
    </row>
    <row r="20" spans="1:23" x14ac:dyDescent="0.2">
      <c r="A20" t="s">
        <v>27</v>
      </c>
      <c r="B20" t="s">
        <v>28</v>
      </c>
      <c r="C20" t="s">
        <v>95</v>
      </c>
      <c r="D20">
        <v>236061</v>
      </c>
      <c r="E20" t="s">
        <v>96</v>
      </c>
      <c r="F20" t="s">
        <v>97</v>
      </c>
      <c r="G20" t="s">
        <v>98</v>
      </c>
      <c r="H20" s="1">
        <v>391552</v>
      </c>
      <c r="I20" t="s">
        <v>99</v>
      </c>
      <c r="J20" t="s">
        <v>83</v>
      </c>
      <c r="L20" t="s">
        <v>27</v>
      </c>
      <c r="M20" s="1">
        <v>400000</v>
      </c>
      <c r="N20" s="1">
        <v>0</v>
      </c>
      <c r="O20" t="s">
        <v>36</v>
      </c>
      <c r="P20" t="s">
        <v>26</v>
      </c>
      <c r="T20" t="s">
        <v>16</v>
      </c>
      <c r="U20" s="4">
        <f t="shared" ca="1" si="0"/>
        <v>1908362.7299999997</v>
      </c>
      <c r="V20" s="4">
        <f t="shared" ca="1" si="1"/>
        <v>10560075.07</v>
      </c>
      <c r="W20" s="4">
        <f t="shared" ca="1" si="1"/>
        <v>-10472835.189999999</v>
      </c>
    </row>
    <row r="21" spans="1:23" x14ac:dyDescent="0.2">
      <c r="A21" t="s">
        <v>40</v>
      </c>
      <c r="B21" t="s">
        <v>64</v>
      </c>
      <c r="C21" t="s">
        <v>100</v>
      </c>
      <c r="D21" t="s">
        <v>101</v>
      </c>
      <c r="H21" s="1">
        <v>400000</v>
      </c>
      <c r="M21" s="1">
        <v>400000</v>
      </c>
      <c r="N21" s="1">
        <v>0</v>
      </c>
      <c r="O21" t="s">
        <v>49</v>
      </c>
      <c r="P21" t="s">
        <v>26</v>
      </c>
      <c r="T21" t="s">
        <v>114</v>
      </c>
      <c r="U21" s="4">
        <f t="shared" ca="1" si="0"/>
        <v>7261343.9000000013</v>
      </c>
      <c r="V21" s="4">
        <f t="shared" ca="1" si="1"/>
        <v>1029274.5</v>
      </c>
      <c r="W21" s="4">
        <f t="shared" ca="1" si="1"/>
        <v>0</v>
      </c>
    </row>
    <row r="22" spans="1:23" x14ac:dyDescent="0.2">
      <c r="A22" t="s">
        <v>40</v>
      </c>
      <c r="B22" t="s">
        <v>64</v>
      </c>
      <c r="C22" t="s">
        <v>102</v>
      </c>
      <c r="D22" t="s">
        <v>103</v>
      </c>
      <c r="E22" t="s">
        <v>71</v>
      </c>
      <c r="F22" t="s">
        <v>45</v>
      </c>
      <c r="G22" t="s">
        <v>46</v>
      </c>
      <c r="H22" s="1">
        <v>360000</v>
      </c>
      <c r="I22" t="s">
        <v>68</v>
      </c>
      <c r="J22" t="s">
        <v>23</v>
      </c>
      <c r="L22" t="s">
        <v>48</v>
      </c>
      <c r="M22" s="1">
        <v>360000</v>
      </c>
      <c r="N22" s="1">
        <v>0</v>
      </c>
      <c r="O22" t="s">
        <v>49</v>
      </c>
      <c r="P22" t="s">
        <v>26</v>
      </c>
      <c r="T22" t="s">
        <v>40</v>
      </c>
      <c r="U22" s="4">
        <f t="shared" ca="1" si="0"/>
        <v>10050266</v>
      </c>
      <c r="V22" s="4">
        <f t="shared" ca="1" si="1"/>
        <v>10050266.050000001</v>
      </c>
      <c r="W22" s="4">
        <f t="shared" ca="1" si="1"/>
        <v>0</v>
      </c>
    </row>
    <row r="23" spans="1:23" x14ac:dyDescent="0.2">
      <c r="A23" t="s">
        <v>16</v>
      </c>
      <c r="B23" t="s">
        <v>17</v>
      </c>
      <c r="C23" t="s">
        <v>104</v>
      </c>
      <c r="D23">
        <v>314965901</v>
      </c>
      <c r="H23" s="1"/>
      <c r="M23" s="1">
        <v>353807.19</v>
      </c>
      <c r="N23" s="1">
        <v>-353807.19</v>
      </c>
      <c r="O23" t="s">
        <v>25</v>
      </c>
      <c r="P23" t="s">
        <v>26</v>
      </c>
      <c r="U23" s="5">
        <f ca="1">SUM(U2:U22)</f>
        <v>57078884.309999987</v>
      </c>
      <c r="V23" s="5">
        <f ca="1">SUM(V2:V22)</f>
        <v>31977712.670000002</v>
      </c>
      <c r="W23" s="5">
        <f ca="1">SUM(W2:W22)</f>
        <v>-12060779.789999999</v>
      </c>
    </row>
    <row r="24" spans="1:23" x14ac:dyDescent="0.2">
      <c r="A24" t="s">
        <v>16</v>
      </c>
      <c r="B24" t="s">
        <v>58</v>
      </c>
      <c r="C24" t="s">
        <v>105</v>
      </c>
      <c r="D24">
        <v>314794101</v>
      </c>
      <c r="E24" t="s">
        <v>31</v>
      </c>
      <c r="F24" t="s">
        <v>20</v>
      </c>
      <c r="G24" t="s">
        <v>21</v>
      </c>
      <c r="H24" s="1">
        <v>11</v>
      </c>
      <c r="I24" t="s">
        <v>60</v>
      </c>
      <c r="J24" t="s">
        <v>23</v>
      </c>
      <c r="L24" t="s">
        <v>24</v>
      </c>
      <c r="M24" s="1">
        <v>340011</v>
      </c>
      <c r="N24" s="1">
        <v>-340000</v>
      </c>
      <c r="O24" t="s">
        <v>57</v>
      </c>
      <c r="P24" t="s">
        <v>26</v>
      </c>
    </row>
    <row r="25" spans="1:23" x14ac:dyDescent="0.2">
      <c r="A25" t="s">
        <v>40</v>
      </c>
      <c r="B25" t="s">
        <v>64</v>
      </c>
      <c r="C25" t="s">
        <v>106</v>
      </c>
      <c r="D25" t="s">
        <v>107</v>
      </c>
      <c r="H25" s="1">
        <v>340000</v>
      </c>
      <c r="M25" s="1">
        <v>340000</v>
      </c>
      <c r="N25" s="1">
        <v>0</v>
      </c>
      <c r="O25" t="s">
        <v>49</v>
      </c>
      <c r="P25" t="s">
        <v>26</v>
      </c>
    </row>
    <row r="26" spans="1:23" x14ac:dyDescent="0.2">
      <c r="A26" t="s">
        <v>40</v>
      </c>
      <c r="B26" t="s">
        <v>64</v>
      </c>
      <c r="C26" t="s">
        <v>108</v>
      </c>
      <c r="D26" t="s">
        <v>109</v>
      </c>
      <c r="H26" s="1">
        <v>340000</v>
      </c>
      <c r="M26" s="1">
        <v>340000</v>
      </c>
      <c r="N26" s="1">
        <v>0</v>
      </c>
      <c r="O26" t="s">
        <v>49</v>
      </c>
      <c r="P26" t="s">
        <v>26</v>
      </c>
      <c r="T26" s="2"/>
      <c r="U26" s="4"/>
    </row>
    <row r="27" spans="1:23" x14ac:dyDescent="0.2">
      <c r="A27" s="2" t="s">
        <v>110</v>
      </c>
      <c r="B27" t="s">
        <v>111</v>
      </c>
      <c r="C27" t="s">
        <v>112</v>
      </c>
      <c r="D27">
        <v>390903</v>
      </c>
      <c r="H27" s="1"/>
      <c r="M27" s="1">
        <v>316316</v>
      </c>
      <c r="N27" s="1">
        <v>0</v>
      </c>
      <c r="O27" t="s">
        <v>113</v>
      </c>
      <c r="P27" t="s">
        <v>26</v>
      </c>
      <c r="U27" s="4"/>
    </row>
    <row r="28" spans="1:23" x14ac:dyDescent="0.2">
      <c r="A28" t="s">
        <v>114</v>
      </c>
      <c r="B28" t="s">
        <v>115</v>
      </c>
      <c r="C28" t="s">
        <v>65</v>
      </c>
      <c r="D28" t="s">
        <v>116</v>
      </c>
      <c r="E28" t="s">
        <v>67</v>
      </c>
      <c r="F28" t="s">
        <v>117</v>
      </c>
      <c r="G28" t="s">
        <v>118</v>
      </c>
      <c r="H28" s="1">
        <v>46250</v>
      </c>
      <c r="I28" t="s">
        <v>119</v>
      </c>
      <c r="J28" t="s">
        <v>120</v>
      </c>
      <c r="L28" t="s">
        <v>114</v>
      </c>
      <c r="M28" s="1">
        <v>300045.5</v>
      </c>
      <c r="N28" s="1">
        <v>0</v>
      </c>
      <c r="O28" t="s">
        <v>121</v>
      </c>
      <c r="P28" t="s">
        <v>26</v>
      </c>
      <c r="U28" s="4"/>
    </row>
    <row r="29" spans="1:23" x14ac:dyDescent="0.2">
      <c r="A29" t="s">
        <v>40</v>
      </c>
      <c r="B29" t="s">
        <v>41</v>
      </c>
      <c r="C29" t="s">
        <v>122</v>
      </c>
      <c r="D29" t="s">
        <v>123</v>
      </c>
      <c r="E29" t="s">
        <v>71</v>
      </c>
      <c r="F29" t="s">
        <v>92</v>
      </c>
      <c r="G29" t="s">
        <v>93</v>
      </c>
      <c r="H29" s="1">
        <v>300000</v>
      </c>
      <c r="I29" t="s">
        <v>60</v>
      </c>
      <c r="J29" t="s">
        <v>94</v>
      </c>
      <c r="L29" t="s">
        <v>40</v>
      </c>
      <c r="M29" s="1">
        <v>300000</v>
      </c>
      <c r="N29" s="1">
        <v>0</v>
      </c>
      <c r="O29" t="s">
        <v>49</v>
      </c>
      <c r="P29" t="s">
        <v>26</v>
      </c>
      <c r="U29" s="4"/>
    </row>
    <row r="30" spans="1:23" x14ac:dyDescent="0.2">
      <c r="A30" t="s">
        <v>40</v>
      </c>
      <c r="B30" t="s">
        <v>41</v>
      </c>
      <c r="C30" t="s">
        <v>124</v>
      </c>
      <c r="D30" t="s">
        <v>125</v>
      </c>
      <c r="E30" t="s">
        <v>71</v>
      </c>
      <c r="F30" t="s">
        <v>92</v>
      </c>
      <c r="G30" t="s">
        <v>93</v>
      </c>
      <c r="H30" s="1">
        <v>300000</v>
      </c>
      <c r="I30" t="s">
        <v>60</v>
      </c>
      <c r="J30" t="s">
        <v>94</v>
      </c>
      <c r="L30" t="s">
        <v>40</v>
      </c>
      <c r="M30" s="1">
        <v>300000</v>
      </c>
      <c r="N30" s="1">
        <v>0</v>
      </c>
      <c r="O30" t="s">
        <v>49</v>
      </c>
      <c r="P30" t="s">
        <v>26</v>
      </c>
      <c r="U30" s="4"/>
    </row>
    <row r="31" spans="1:23" x14ac:dyDescent="0.2">
      <c r="A31" t="s">
        <v>40</v>
      </c>
      <c r="B31" t="s">
        <v>41</v>
      </c>
      <c r="C31" t="s">
        <v>126</v>
      </c>
      <c r="D31" t="s">
        <v>127</v>
      </c>
      <c r="E31" t="s">
        <v>128</v>
      </c>
      <c r="F31" t="s">
        <v>45</v>
      </c>
      <c r="G31" t="s">
        <v>46</v>
      </c>
      <c r="H31" s="1">
        <v>300000</v>
      </c>
      <c r="I31" t="s">
        <v>63</v>
      </c>
      <c r="J31" t="s">
        <v>23</v>
      </c>
      <c r="L31" t="s">
        <v>48</v>
      </c>
      <c r="M31" s="1">
        <v>300000</v>
      </c>
      <c r="N31" s="1">
        <v>0</v>
      </c>
      <c r="O31" t="s">
        <v>49</v>
      </c>
      <c r="P31" t="s">
        <v>26</v>
      </c>
      <c r="T31" s="2"/>
      <c r="U31" s="4"/>
    </row>
    <row r="32" spans="1:23" x14ac:dyDescent="0.2">
      <c r="A32" t="s">
        <v>40</v>
      </c>
      <c r="B32" t="s">
        <v>41</v>
      </c>
      <c r="C32" t="s">
        <v>108</v>
      </c>
      <c r="D32" t="s">
        <v>129</v>
      </c>
      <c r="E32" t="s">
        <v>75</v>
      </c>
      <c r="F32" t="s">
        <v>45</v>
      </c>
      <c r="G32" t="s">
        <v>46</v>
      </c>
      <c r="H32" s="1">
        <v>300000</v>
      </c>
      <c r="I32" t="s">
        <v>130</v>
      </c>
      <c r="J32" t="s">
        <v>23</v>
      </c>
      <c r="L32" t="s">
        <v>48</v>
      </c>
      <c r="M32" s="1">
        <v>300000</v>
      </c>
      <c r="N32" s="1">
        <v>0</v>
      </c>
      <c r="O32" t="s">
        <v>49</v>
      </c>
      <c r="P32" t="s">
        <v>26</v>
      </c>
      <c r="U32" s="4"/>
    </row>
    <row r="33" spans="1:21" x14ac:dyDescent="0.2">
      <c r="A33" t="s">
        <v>40</v>
      </c>
      <c r="B33" t="s">
        <v>64</v>
      </c>
      <c r="C33" t="s">
        <v>131</v>
      </c>
      <c r="D33" t="s">
        <v>132</v>
      </c>
      <c r="E33" t="s">
        <v>44</v>
      </c>
      <c r="F33" t="s">
        <v>45</v>
      </c>
      <c r="G33" t="s">
        <v>46</v>
      </c>
      <c r="H33" s="1">
        <v>300000</v>
      </c>
      <c r="I33" t="s">
        <v>133</v>
      </c>
      <c r="J33" t="s">
        <v>23</v>
      </c>
      <c r="L33" t="s">
        <v>48</v>
      </c>
      <c r="M33" s="1">
        <v>300000</v>
      </c>
      <c r="N33" s="1">
        <v>0</v>
      </c>
      <c r="O33" t="s">
        <v>49</v>
      </c>
      <c r="P33" t="s">
        <v>26</v>
      </c>
      <c r="U33" s="4"/>
    </row>
    <row r="34" spans="1:21" x14ac:dyDescent="0.2">
      <c r="A34" t="s">
        <v>40</v>
      </c>
      <c r="B34" t="s">
        <v>64</v>
      </c>
      <c r="C34" t="s">
        <v>134</v>
      </c>
      <c r="D34" t="s">
        <v>135</v>
      </c>
      <c r="H34" s="1">
        <v>300000</v>
      </c>
      <c r="M34" s="1">
        <v>300000</v>
      </c>
      <c r="N34" s="1">
        <v>0</v>
      </c>
      <c r="O34" t="s">
        <v>49</v>
      </c>
      <c r="P34" t="s">
        <v>26</v>
      </c>
      <c r="U34" s="4"/>
    </row>
    <row r="35" spans="1:21" x14ac:dyDescent="0.2">
      <c r="A35" t="s">
        <v>40</v>
      </c>
      <c r="B35" t="s">
        <v>136</v>
      </c>
      <c r="C35" t="s">
        <v>137</v>
      </c>
      <c r="D35" t="s">
        <v>138</v>
      </c>
      <c r="E35" t="s">
        <v>67</v>
      </c>
      <c r="F35" t="s">
        <v>45</v>
      </c>
      <c r="G35" t="s">
        <v>46</v>
      </c>
      <c r="H35" s="1">
        <v>300000</v>
      </c>
      <c r="I35" t="s">
        <v>139</v>
      </c>
      <c r="J35" t="s">
        <v>23</v>
      </c>
      <c r="L35" t="s">
        <v>48</v>
      </c>
      <c r="M35" s="1">
        <v>300000</v>
      </c>
      <c r="N35" s="1">
        <v>0</v>
      </c>
      <c r="O35" t="s">
        <v>140</v>
      </c>
      <c r="P35" s="2" t="s">
        <v>26</v>
      </c>
      <c r="U35" s="4"/>
    </row>
    <row r="36" spans="1:21" x14ac:dyDescent="0.2">
      <c r="A36" t="s">
        <v>141</v>
      </c>
      <c r="B36" t="s">
        <v>142</v>
      </c>
      <c r="C36" t="s">
        <v>143</v>
      </c>
      <c r="D36" t="s">
        <v>144</v>
      </c>
      <c r="E36" t="s">
        <v>31</v>
      </c>
      <c r="F36" t="s">
        <v>145</v>
      </c>
      <c r="G36" t="s">
        <v>146</v>
      </c>
      <c r="H36" s="1">
        <v>304110</v>
      </c>
      <c r="I36" t="s">
        <v>147</v>
      </c>
      <c r="J36" t="s">
        <v>148</v>
      </c>
      <c r="L36" t="s">
        <v>141</v>
      </c>
      <c r="M36" s="1">
        <v>299925</v>
      </c>
      <c r="N36" s="1">
        <v>0</v>
      </c>
      <c r="O36" t="s">
        <v>113</v>
      </c>
      <c r="P36" t="s">
        <v>26</v>
      </c>
      <c r="U36" s="4"/>
    </row>
    <row r="37" spans="1:21" x14ac:dyDescent="0.2">
      <c r="A37" t="s">
        <v>40</v>
      </c>
      <c r="B37" t="s">
        <v>41</v>
      </c>
      <c r="C37" t="s">
        <v>149</v>
      </c>
      <c r="D37" t="s">
        <v>150</v>
      </c>
      <c r="E37" t="s">
        <v>96</v>
      </c>
      <c r="F37" t="s">
        <v>92</v>
      </c>
      <c r="G37" t="s">
        <v>93</v>
      </c>
      <c r="H37" s="1">
        <v>280000</v>
      </c>
      <c r="I37" t="s">
        <v>60</v>
      </c>
      <c r="J37" t="s">
        <v>94</v>
      </c>
      <c r="L37" t="s">
        <v>40</v>
      </c>
      <c r="M37" s="1">
        <v>280000</v>
      </c>
      <c r="N37" s="1">
        <v>0</v>
      </c>
      <c r="O37" t="s">
        <v>49</v>
      </c>
      <c r="P37" t="s">
        <v>26</v>
      </c>
      <c r="U37" s="4"/>
    </row>
    <row r="38" spans="1:21" x14ac:dyDescent="0.2">
      <c r="A38" t="s">
        <v>40</v>
      </c>
      <c r="B38" t="s">
        <v>64</v>
      </c>
      <c r="C38" t="s">
        <v>88</v>
      </c>
      <c r="D38" t="s">
        <v>151</v>
      </c>
      <c r="H38" s="1">
        <v>280000</v>
      </c>
      <c r="M38" s="1">
        <v>280000</v>
      </c>
      <c r="N38" s="1">
        <v>0</v>
      </c>
      <c r="O38" t="s">
        <v>49</v>
      </c>
      <c r="P38" t="s">
        <v>26</v>
      </c>
      <c r="U38" s="4"/>
    </row>
    <row r="39" spans="1:21" x14ac:dyDescent="0.2">
      <c r="A39" t="s">
        <v>40</v>
      </c>
      <c r="B39" t="s">
        <v>64</v>
      </c>
      <c r="C39" t="s">
        <v>95</v>
      </c>
      <c r="D39" t="s">
        <v>152</v>
      </c>
      <c r="E39" t="s">
        <v>96</v>
      </c>
      <c r="F39" t="s">
        <v>45</v>
      </c>
      <c r="G39" t="s">
        <v>46</v>
      </c>
      <c r="H39" s="1">
        <v>260000</v>
      </c>
      <c r="I39" t="s">
        <v>68</v>
      </c>
      <c r="J39" t="s">
        <v>23</v>
      </c>
      <c r="L39" t="s">
        <v>48</v>
      </c>
      <c r="M39" s="1">
        <v>260000</v>
      </c>
      <c r="N39" s="1">
        <v>0</v>
      </c>
      <c r="O39" t="s">
        <v>49</v>
      </c>
      <c r="P39" t="s">
        <v>26</v>
      </c>
      <c r="U39" s="4"/>
    </row>
    <row r="40" spans="1:21" x14ac:dyDescent="0.2">
      <c r="A40" t="s">
        <v>16</v>
      </c>
      <c r="B40" t="s">
        <v>58</v>
      </c>
      <c r="C40" t="s">
        <v>153</v>
      </c>
      <c r="D40">
        <v>314807201</v>
      </c>
      <c r="H40" s="1"/>
      <c r="M40" s="1">
        <v>250555</v>
      </c>
      <c r="N40" s="1">
        <v>-250555</v>
      </c>
      <c r="O40" t="s">
        <v>57</v>
      </c>
      <c r="P40" t="s">
        <v>26</v>
      </c>
      <c r="U40" s="4"/>
    </row>
    <row r="41" spans="1:21" x14ac:dyDescent="0.2">
      <c r="A41" t="s">
        <v>27</v>
      </c>
      <c r="B41" t="s">
        <v>28</v>
      </c>
      <c r="C41" t="s">
        <v>154</v>
      </c>
      <c r="D41">
        <v>236077</v>
      </c>
      <c r="E41" t="s">
        <v>128</v>
      </c>
      <c r="F41" t="s">
        <v>97</v>
      </c>
      <c r="G41" t="s">
        <v>98</v>
      </c>
      <c r="H41" s="1">
        <v>234931</v>
      </c>
      <c r="I41" t="s">
        <v>155</v>
      </c>
      <c r="J41" t="s">
        <v>83</v>
      </c>
      <c r="L41" t="s">
        <v>27</v>
      </c>
      <c r="M41" s="1">
        <v>240000</v>
      </c>
      <c r="N41" s="1">
        <v>0</v>
      </c>
      <c r="O41" t="s">
        <v>36</v>
      </c>
      <c r="P41" t="s">
        <v>26</v>
      </c>
      <c r="U41" s="4"/>
    </row>
    <row r="42" spans="1:21" x14ac:dyDescent="0.2">
      <c r="A42" t="s">
        <v>40</v>
      </c>
      <c r="B42" t="s">
        <v>64</v>
      </c>
      <c r="C42" t="s">
        <v>156</v>
      </c>
      <c r="D42" t="s">
        <v>157</v>
      </c>
      <c r="E42" t="s">
        <v>38</v>
      </c>
      <c r="F42" t="s">
        <v>45</v>
      </c>
      <c r="G42" t="s">
        <v>46</v>
      </c>
      <c r="H42" s="1">
        <v>200000</v>
      </c>
      <c r="I42" t="s">
        <v>158</v>
      </c>
      <c r="J42" t="s">
        <v>23</v>
      </c>
      <c r="L42" t="s">
        <v>48</v>
      </c>
      <c r="M42" s="1">
        <v>200000</v>
      </c>
      <c r="N42" s="1">
        <v>0</v>
      </c>
      <c r="O42" t="s">
        <v>49</v>
      </c>
      <c r="P42" t="s">
        <v>26</v>
      </c>
      <c r="U42" s="4"/>
    </row>
    <row r="43" spans="1:21" x14ac:dyDescent="0.2">
      <c r="A43" t="s">
        <v>27</v>
      </c>
      <c r="B43" t="s">
        <v>28</v>
      </c>
      <c r="C43" t="s">
        <v>65</v>
      </c>
      <c r="D43">
        <v>231896</v>
      </c>
      <c r="E43" t="s">
        <v>67</v>
      </c>
      <c r="F43" t="s">
        <v>159</v>
      </c>
      <c r="G43" t="s">
        <v>160</v>
      </c>
      <c r="H43" s="1">
        <v>200000</v>
      </c>
      <c r="I43" t="s">
        <v>161</v>
      </c>
      <c r="J43" t="s">
        <v>83</v>
      </c>
      <c r="L43" t="s">
        <v>27</v>
      </c>
      <c r="M43" s="1">
        <v>200000</v>
      </c>
      <c r="N43" s="1">
        <v>0</v>
      </c>
      <c r="O43" t="s">
        <v>36</v>
      </c>
      <c r="P43" t="s">
        <v>26</v>
      </c>
      <c r="U43" s="4"/>
    </row>
    <row r="44" spans="1:21" x14ac:dyDescent="0.2">
      <c r="A44" t="s">
        <v>27</v>
      </c>
      <c r="B44" t="s">
        <v>28</v>
      </c>
      <c r="C44" t="s">
        <v>162</v>
      </c>
      <c r="D44">
        <v>230844</v>
      </c>
      <c r="E44" t="s">
        <v>71</v>
      </c>
      <c r="F44" t="s">
        <v>159</v>
      </c>
      <c r="G44" t="s">
        <v>160</v>
      </c>
      <c r="H44" s="1">
        <v>200000</v>
      </c>
      <c r="I44" t="s">
        <v>163</v>
      </c>
      <c r="J44" t="s">
        <v>83</v>
      </c>
      <c r="L44" t="s">
        <v>27</v>
      </c>
      <c r="M44" s="1">
        <v>200000</v>
      </c>
      <c r="N44" s="1">
        <v>0</v>
      </c>
      <c r="O44" t="s">
        <v>36</v>
      </c>
      <c r="P44" t="s">
        <v>26</v>
      </c>
      <c r="U44" s="4"/>
    </row>
    <row r="45" spans="1:21" x14ac:dyDescent="0.2">
      <c r="A45" t="s">
        <v>27</v>
      </c>
      <c r="B45" t="s">
        <v>28</v>
      </c>
      <c r="C45" t="s">
        <v>164</v>
      </c>
      <c r="D45">
        <v>237468</v>
      </c>
      <c r="E45" t="s">
        <v>19</v>
      </c>
      <c r="F45" t="s">
        <v>159</v>
      </c>
      <c r="G45" t="s">
        <v>160</v>
      </c>
      <c r="H45" s="1">
        <v>200000</v>
      </c>
      <c r="I45" t="s">
        <v>165</v>
      </c>
      <c r="J45" t="s">
        <v>83</v>
      </c>
      <c r="L45" t="s">
        <v>27</v>
      </c>
      <c r="M45" s="1">
        <v>200000</v>
      </c>
      <c r="N45" s="1">
        <v>0</v>
      </c>
      <c r="O45" t="s">
        <v>36</v>
      </c>
      <c r="P45" t="s">
        <v>26</v>
      </c>
      <c r="U45" s="4"/>
    </row>
    <row r="46" spans="1:21" x14ac:dyDescent="0.2">
      <c r="A46" t="s">
        <v>166</v>
      </c>
      <c r="B46" t="s">
        <v>167</v>
      </c>
      <c r="C46" t="s">
        <v>162</v>
      </c>
      <c r="D46" t="s">
        <v>168</v>
      </c>
      <c r="E46" t="s">
        <v>71</v>
      </c>
      <c r="F46" t="s">
        <v>169</v>
      </c>
      <c r="G46" t="s">
        <v>170</v>
      </c>
      <c r="H46" s="1">
        <v>200000</v>
      </c>
      <c r="I46" t="s">
        <v>163</v>
      </c>
      <c r="J46" t="s">
        <v>171</v>
      </c>
      <c r="L46" t="s">
        <v>166</v>
      </c>
      <c r="M46" s="1">
        <v>200000</v>
      </c>
      <c r="N46" s="1">
        <v>0</v>
      </c>
      <c r="O46" t="s">
        <v>36</v>
      </c>
      <c r="P46" t="s">
        <v>26</v>
      </c>
      <c r="U46" s="4"/>
    </row>
    <row r="47" spans="1:21" x14ac:dyDescent="0.2">
      <c r="A47" t="s">
        <v>40</v>
      </c>
      <c r="B47" t="s">
        <v>64</v>
      </c>
      <c r="C47" t="s">
        <v>172</v>
      </c>
      <c r="D47" t="s">
        <v>173</v>
      </c>
      <c r="H47" s="1">
        <v>200000</v>
      </c>
      <c r="M47" s="1">
        <v>200000</v>
      </c>
      <c r="N47" s="1">
        <v>0</v>
      </c>
      <c r="O47" t="s">
        <v>49</v>
      </c>
      <c r="P47" t="s">
        <v>26</v>
      </c>
      <c r="U47" s="4"/>
    </row>
    <row r="48" spans="1:21" x14ac:dyDescent="0.2">
      <c r="A48" t="s">
        <v>40</v>
      </c>
      <c r="B48" t="s">
        <v>64</v>
      </c>
      <c r="C48" t="s">
        <v>174</v>
      </c>
      <c r="D48" t="s">
        <v>175</v>
      </c>
      <c r="H48" s="1">
        <v>200000</v>
      </c>
      <c r="M48" s="1">
        <v>200000</v>
      </c>
      <c r="N48" s="1">
        <v>0</v>
      </c>
      <c r="O48" t="s">
        <v>49</v>
      </c>
      <c r="P48" t="s">
        <v>26</v>
      </c>
      <c r="U48" s="4"/>
    </row>
    <row r="49" spans="1:21" x14ac:dyDescent="0.2">
      <c r="A49" t="s">
        <v>40</v>
      </c>
      <c r="B49" t="s">
        <v>64</v>
      </c>
      <c r="C49" t="s">
        <v>176</v>
      </c>
      <c r="D49" t="s">
        <v>177</v>
      </c>
      <c r="H49" s="1">
        <v>200000</v>
      </c>
      <c r="M49" s="1">
        <v>200000</v>
      </c>
      <c r="N49" s="1">
        <v>0</v>
      </c>
      <c r="O49" t="s">
        <v>49</v>
      </c>
      <c r="P49" t="s">
        <v>26</v>
      </c>
      <c r="U49" s="4"/>
    </row>
    <row r="50" spans="1:21" x14ac:dyDescent="0.2">
      <c r="A50" t="s">
        <v>114</v>
      </c>
      <c r="B50" t="s">
        <v>114</v>
      </c>
      <c r="C50" t="s">
        <v>178</v>
      </c>
      <c r="D50" t="s">
        <v>179</v>
      </c>
      <c r="H50" s="1">
        <v>200000</v>
      </c>
      <c r="M50" s="1">
        <v>200000</v>
      </c>
      <c r="N50" s="1">
        <v>0</v>
      </c>
      <c r="O50" t="s">
        <v>36</v>
      </c>
      <c r="P50" t="s">
        <v>26</v>
      </c>
      <c r="U50" s="4"/>
    </row>
    <row r="51" spans="1:21" x14ac:dyDescent="0.2">
      <c r="A51" t="s">
        <v>40</v>
      </c>
      <c r="B51" t="s">
        <v>64</v>
      </c>
      <c r="C51" t="s">
        <v>180</v>
      </c>
      <c r="D51" t="s">
        <v>181</v>
      </c>
      <c r="E51" t="s">
        <v>96</v>
      </c>
      <c r="F51" t="s">
        <v>45</v>
      </c>
      <c r="G51" t="s">
        <v>46</v>
      </c>
      <c r="H51" s="1">
        <v>160000</v>
      </c>
      <c r="I51" t="s">
        <v>68</v>
      </c>
      <c r="J51" t="s">
        <v>23</v>
      </c>
      <c r="L51" t="s">
        <v>48</v>
      </c>
      <c r="M51" s="1">
        <v>160000</v>
      </c>
      <c r="N51" s="1">
        <v>0</v>
      </c>
      <c r="O51" t="s">
        <v>49</v>
      </c>
      <c r="P51" t="s">
        <v>26</v>
      </c>
    </row>
    <row r="52" spans="1:21" x14ac:dyDescent="0.2">
      <c r="A52" t="s">
        <v>16</v>
      </c>
      <c r="B52" t="s">
        <v>58</v>
      </c>
      <c r="C52" t="s">
        <v>153</v>
      </c>
      <c r="D52">
        <v>314807101</v>
      </c>
      <c r="H52" s="1"/>
      <c r="M52" s="1">
        <v>150345</v>
      </c>
      <c r="N52" s="1">
        <v>-150345</v>
      </c>
      <c r="O52" t="s">
        <v>57</v>
      </c>
      <c r="P52" t="s">
        <v>26</v>
      </c>
    </row>
    <row r="53" spans="1:21" x14ac:dyDescent="0.2">
      <c r="A53" t="s">
        <v>114</v>
      </c>
      <c r="B53" t="s">
        <v>182</v>
      </c>
      <c r="C53" t="s">
        <v>183</v>
      </c>
      <c r="D53" t="s">
        <v>184</v>
      </c>
      <c r="E53" t="s">
        <v>19</v>
      </c>
      <c r="F53" t="s">
        <v>185</v>
      </c>
      <c r="G53" t="s">
        <v>186</v>
      </c>
      <c r="H53" s="1">
        <v>20000</v>
      </c>
      <c r="I53" t="s">
        <v>187</v>
      </c>
      <c r="J53" t="s">
        <v>120</v>
      </c>
      <c r="L53" t="s">
        <v>114</v>
      </c>
      <c r="M53" s="1">
        <v>140003</v>
      </c>
      <c r="N53" s="1">
        <v>0</v>
      </c>
      <c r="O53" t="s">
        <v>120</v>
      </c>
      <c r="P53" t="s">
        <v>26</v>
      </c>
    </row>
    <row r="54" spans="1:21" x14ac:dyDescent="0.2">
      <c r="A54" t="s">
        <v>40</v>
      </c>
      <c r="B54" t="s">
        <v>41</v>
      </c>
      <c r="C54" t="s">
        <v>188</v>
      </c>
      <c r="D54" t="s">
        <v>189</v>
      </c>
      <c r="E54" t="s">
        <v>19</v>
      </c>
      <c r="F54" t="s">
        <v>45</v>
      </c>
      <c r="G54" t="s">
        <v>46</v>
      </c>
      <c r="H54" s="1">
        <v>140000</v>
      </c>
      <c r="I54" t="s">
        <v>190</v>
      </c>
      <c r="J54" t="s">
        <v>23</v>
      </c>
      <c r="L54" t="s">
        <v>48</v>
      </c>
      <c r="M54" s="1">
        <v>140000</v>
      </c>
      <c r="N54" s="1">
        <v>0</v>
      </c>
      <c r="O54" t="s">
        <v>49</v>
      </c>
      <c r="P54" t="s">
        <v>26</v>
      </c>
    </row>
    <row r="55" spans="1:21" x14ac:dyDescent="0.2">
      <c r="A55" t="s">
        <v>16</v>
      </c>
      <c r="B55" t="s">
        <v>58</v>
      </c>
      <c r="C55" t="s">
        <v>191</v>
      </c>
      <c r="D55">
        <v>314942701</v>
      </c>
      <c r="E55" t="s">
        <v>192</v>
      </c>
      <c r="F55" t="s">
        <v>20</v>
      </c>
      <c r="G55" t="s">
        <v>21</v>
      </c>
      <c r="H55" s="1">
        <v>140000</v>
      </c>
      <c r="I55" t="s">
        <v>193</v>
      </c>
      <c r="J55" t="s">
        <v>23</v>
      </c>
      <c r="L55" t="s">
        <v>24</v>
      </c>
      <c r="M55" s="1">
        <v>140000</v>
      </c>
      <c r="N55" s="1">
        <v>-140000</v>
      </c>
      <c r="O55" t="s">
        <v>57</v>
      </c>
      <c r="P55" t="s">
        <v>26</v>
      </c>
    </row>
    <row r="56" spans="1:21" x14ac:dyDescent="0.2">
      <c r="A56" t="s">
        <v>40</v>
      </c>
      <c r="B56" t="s">
        <v>64</v>
      </c>
      <c r="C56" t="s">
        <v>194</v>
      </c>
      <c r="D56" t="s">
        <v>195</v>
      </c>
      <c r="H56" s="1">
        <v>140000</v>
      </c>
      <c r="M56" s="1">
        <v>140000</v>
      </c>
      <c r="N56" s="1">
        <v>0</v>
      </c>
      <c r="O56" t="s">
        <v>49</v>
      </c>
      <c r="P56" t="s">
        <v>26</v>
      </c>
    </row>
    <row r="57" spans="1:21" x14ac:dyDescent="0.2">
      <c r="A57" t="s">
        <v>141</v>
      </c>
      <c r="B57" t="s">
        <v>142</v>
      </c>
      <c r="C57" t="s">
        <v>196</v>
      </c>
      <c r="D57" t="s">
        <v>197</v>
      </c>
      <c r="E57" t="s">
        <v>192</v>
      </c>
      <c r="F57" t="s">
        <v>145</v>
      </c>
      <c r="G57" t="s">
        <v>146</v>
      </c>
      <c r="H57" s="1">
        <v>129710</v>
      </c>
      <c r="I57" t="s">
        <v>198</v>
      </c>
      <c r="J57" t="s">
        <v>148</v>
      </c>
      <c r="L57" t="s">
        <v>141</v>
      </c>
      <c r="M57" s="1">
        <v>127925</v>
      </c>
      <c r="N57" s="1">
        <v>0</v>
      </c>
      <c r="O57" t="s">
        <v>113</v>
      </c>
      <c r="P57" t="s">
        <v>26</v>
      </c>
    </row>
    <row r="58" spans="1:21" x14ac:dyDescent="0.2">
      <c r="A58" t="s">
        <v>110</v>
      </c>
      <c r="B58" t="s">
        <v>111</v>
      </c>
      <c r="C58" t="s">
        <v>199</v>
      </c>
      <c r="D58">
        <v>391234</v>
      </c>
      <c r="H58" s="1"/>
      <c r="M58" s="1">
        <v>126672</v>
      </c>
      <c r="N58" s="1">
        <v>0</v>
      </c>
      <c r="O58" t="s">
        <v>200</v>
      </c>
      <c r="P58" t="s">
        <v>26</v>
      </c>
    </row>
    <row r="59" spans="1:21" x14ac:dyDescent="0.2">
      <c r="A59" t="s">
        <v>40</v>
      </c>
      <c r="B59" t="s">
        <v>136</v>
      </c>
      <c r="C59" t="s">
        <v>201</v>
      </c>
      <c r="D59" t="s">
        <v>202</v>
      </c>
      <c r="E59" t="s">
        <v>203</v>
      </c>
      <c r="F59" t="s">
        <v>92</v>
      </c>
      <c r="G59" t="s">
        <v>93</v>
      </c>
      <c r="H59" s="1">
        <v>110266</v>
      </c>
      <c r="I59" t="s">
        <v>204</v>
      </c>
      <c r="J59" t="s">
        <v>94</v>
      </c>
      <c r="L59" t="s">
        <v>40</v>
      </c>
      <c r="M59" s="1">
        <v>110266.05</v>
      </c>
      <c r="N59" s="1">
        <v>0</v>
      </c>
      <c r="O59" t="s">
        <v>140</v>
      </c>
      <c r="P59" s="2" t="s">
        <v>26</v>
      </c>
    </row>
    <row r="60" spans="1:21" x14ac:dyDescent="0.2">
      <c r="A60" t="s">
        <v>50</v>
      </c>
      <c r="B60" t="s">
        <v>51</v>
      </c>
      <c r="C60" t="s">
        <v>205</v>
      </c>
      <c r="D60">
        <v>53700008384</v>
      </c>
      <c r="E60" t="s">
        <v>192</v>
      </c>
      <c r="F60" t="s">
        <v>53</v>
      </c>
      <c r="G60" t="s">
        <v>54</v>
      </c>
      <c r="H60" s="1">
        <v>2024.7</v>
      </c>
      <c r="I60" t="s">
        <v>206</v>
      </c>
      <c r="J60" t="s">
        <v>56</v>
      </c>
      <c r="L60" t="s">
        <v>40</v>
      </c>
      <c r="M60" s="1">
        <v>105000</v>
      </c>
      <c r="N60" s="1">
        <v>-102912</v>
      </c>
      <c r="O60" t="s">
        <v>57</v>
      </c>
      <c r="P60" t="s">
        <v>26</v>
      </c>
    </row>
    <row r="61" spans="1:21" x14ac:dyDescent="0.2">
      <c r="A61" t="s">
        <v>40</v>
      </c>
      <c r="B61" t="s">
        <v>41</v>
      </c>
      <c r="C61" t="s">
        <v>207</v>
      </c>
      <c r="D61" t="s">
        <v>208</v>
      </c>
      <c r="E61" t="s">
        <v>71</v>
      </c>
      <c r="F61" t="s">
        <v>92</v>
      </c>
      <c r="G61" t="s">
        <v>93</v>
      </c>
      <c r="H61" s="1">
        <v>100000</v>
      </c>
      <c r="I61" t="s">
        <v>60</v>
      </c>
      <c r="J61" t="s">
        <v>94</v>
      </c>
      <c r="L61" t="s">
        <v>40</v>
      </c>
      <c r="M61" s="1">
        <v>100000</v>
      </c>
      <c r="N61" s="1">
        <v>0</v>
      </c>
      <c r="O61" t="s">
        <v>49</v>
      </c>
      <c r="P61" t="s">
        <v>26</v>
      </c>
    </row>
    <row r="62" spans="1:21" x14ac:dyDescent="0.2">
      <c r="A62" t="s">
        <v>40</v>
      </c>
      <c r="B62" t="s">
        <v>41</v>
      </c>
      <c r="C62" t="s">
        <v>199</v>
      </c>
      <c r="D62" t="s">
        <v>209</v>
      </c>
      <c r="E62" t="s">
        <v>71</v>
      </c>
      <c r="F62" t="s">
        <v>92</v>
      </c>
      <c r="G62" t="s">
        <v>93</v>
      </c>
      <c r="H62" s="1">
        <v>100000</v>
      </c>
      <c r="I62" t="s">
        <v>60</v>
      </c>
      <c r="J62" t="s">
        <v>94</v>
      </c>
      <c r="L62" t="s">
        <v>40</v>
      </c>
      <c r="M62" s="1">
        <v>100000</v>
      </c>
      <c r="N62" s="1">
        <v>0</v>
      </c>
      <c r="O62" t="s">
        <v>49</v>
      </c>
      <c r="P62" t="s">
        <v>26</v>
      </c>
    </row>
    <row r="63" spans="1:21" x14ac:dyDescent="0.2">
      <c r="A63" t="s">
        <v>40</v>
      </c>
      <c r="B63" t="s">
        <v>41</v>
      </c>
      <c r="C63" t="s">
        <v>180</v>
      </c>
      <c r="D63" t="s">
        <v>210</v>
      </c>
      <c r="E63" t="s">
        <v>96</v>
      </c>
      <c r="F63" t="s">
        <v>92</v>
      </c>
      <c r="G63" t="s">
        <v>93</v>
      </c>
      <c r="H63" s="1">
        <v>100000</v>
      </c>
      <c r="I63" t="s">
        <v>60</v>
      </c>
      <c r="J63" t="s">
        <v>94</v>
      </c>
      <c r="L63" t="s">
        <v>40</v>
      </c>
      <c r="M63" s="1">
        <v>100000</v>
      </c>
      <c r="N63" s="1">
        <v>0</v>
      </c>
      <c r="O63" t="s">
        <v>49</v>
      </c>
      <c r="P63" t="s">
        <v>26</v>
      </c>
    </row>
    <row r="64" spans="1:21" x14ac:dyDescent="0.2">
      <c r="A64" t="s">
        <v>40</v>
      </c>
      <c r="B64" t="s">
        <v>64</v>
      </c>
      <c r="C64" t="s">
        <v>211</v>
      </c>
      <c r="D64" t="s">
        <v>212</v>
      </c>
      <c r="E64" t="s">
        <v>192</v>
      </c>
      <c r="F64" t="s">
        <v>45</v>
      </c>
      <c r="G64" t="s">
        <v>46</v>
      </c>
      <c r="H64" s="1">
        <v>100000</v>
      </c>
      <c r="I64" t="s">
        <v>213</v>
      </c>
      <c r="J64" t="s">
        <v>23</v>
      </c>
      <c r="L64" t="s">
        <v>48</v>
      </c>
      <c r="M64" s="1">
        <v>100000</v>
      </c>
      <c r="N64" s="1">
        <v>0</v>
      </c>
      <c r="O64" t="s">
        <v>49</v>
      </c>
      <c r="P64" t="s">
        <v>26</v>
      </c>
    </row>
    <row r="65" spans="1:16" x14ac:dyDescent="0.2">
      <c r="A65" t="s">
        <v>40</v>
      </c>
      <c r="B65" t="s">
        <v>64</v>
      </c>
      <c r="C65" t="s">
        <v>214</v>
      </c>
      <c r="D65" t="s">
        <v>215</v>
      </c>
      <c r="E65" t="s">
        <v>128</v>
      </c>
      <c r="F65" t="s">
        <v>45</v>
      </c>
      <c r="G65" t="s">
        <v>46</v>
      </c>
      <c r="H65" s="1">
        <v>100000</v>
      </c>
      <c r="I65" t="s">
        <v>216</v>
      </c>
      <c r="J65" t="s">
        <v>23</v>
      </c>
      <c r="L65" t="s">
        <v>48</v>
      </c>
      <c r="M65" s="1">
        <v>100000</v>
      </c>
      <c r="N65" s="1">
        <v>0</v>
      </c>
      <c r="O65" t="s">
        <v>49</v>
      </c>
      <c r="P65" t="s">
        <v>26</v>
      </c>
    </row>
    <row r="66" spans="1:16" x14ac:dyDescent="0.2">
      <c r="A66" t="s">
        <v>27</v>
      </c>
      <c r="B66" t="s">
        <v>28</v>
      </c>
      <c r="C66" t="s">
        <v>217</v>
      </c>
      <c r="D66">
        <v>236485</v>
      </c>
      <c r="E66" t="s">
        <v>71</v>
      </c>
      <c r="F66" t="s">
        <v>218</v>
      </c>
      <c r="G66" t="s">
        <v>219</v>
      </c>
      <c r="H66" s="1">
        <v>100000</v>
      </c>
      <c r="I66" t="s">
        <v>198</v>
      </c>
      <c r="J66" t="s">
        <v>83</v>
      </c>
      <c r="L66" t="s">
        <v>27</v>
      </c>
      <c r="M66" s="1">
        <v>100000</v>
      </c>
      <c r="N66" s="1">
        <v>0</v>
      </c>
      <c r="O66" t="s">
        <v>36</v>
      </c>
      <c r="P66" t="s">
        <v>26</v>
      </c>
    </row>
    <row r="67" spans="1:16" x14ac:dyDescent="0.2">
      <c r="A67" t="s">
        <v>27</v>
      </c>
      <c r="B67" t="s">
        <v>28</v>
      </c>
      <c r="C67" t="s">
        <v>220</v>
      </c>
      <c r="D67">
        <v>236631</v>
      </c>
      <c r="E67" t="s">
        <v>128</v>
      </c>
      <c r="F67" t="s">
        <v>218</v>
      </c>
      <c r="G67" t="s">
        <v>219</v>
      </c>
      <c r="H67" s="1">
        <v>100000</v>
      </c>
      <c r="I67" t="s">
        <v>34</v>
      </c>
      <c r="J67" t="s">
        <v>83</v>
      </c>
      <c r="L67" t="s">
        <v>27</v>
      </c>
      <c r="M67" s="1">
        <v>100000</v>
      </c>
      <c r="N67" s="1">
        <v>0</v>
      </c>
      <c r="O67" t="s">
        <v>36</v>
      </c>
      <c r="P67" t="s">
        <v>26</v>
      </c>
    </row>
    <row r="68" spans="1:16" x14ac:dyDescent="0.2">
      <c r="A68" t="s">
        <v>27</v>
      </c>
      <c r="B68" t="s">
        <v>28</v>
      </c>
      <c r="C68" t="s">
        <v>221</v>
      </c>
      <c r="D68">
        <v>237003</v>
      </c>
      <c r="E68" t="s">
        <v>31</v>
      </c>
      <c r="F68" t="s">
        <v>218</v>
      </c>
      <c r="G68" t="s">
        <v>219</v>
      </c>
      <c r="H68" s="1">
        <v>100000</v>
      </c>
      <c r="I68" t="s">
        <v>222</v>
      </c>
      <c r="J68" t="s">
        <v>83</v>
      </c>
      <c r="L68" t="s">
        <v>27</v>
      </c>
      <c r="M68" s="1">
        <v>100000</v>
      </c>
      <c r="N68" s="1">
        <v>0</v>
      </c>
      <c r="O68" t="s">
        <v>36</v>
      </c>
      <c r="P68" t="s">
        <v>26</v>
      </c>
    </row>
    <row r="69" spans="1:16" x14ac:dyDescent="0.2">
      <c r="A69" t="s">
        <v>166</v>
      </c>
      <c r="B69" t="s">
        <v>167</v>
      </c>
      <c r="C69" t="s">
        <v>180</v>
      </c>
      <c r="D69" t="s">
        <v>223</v>
      </c>
      <c r="E69" t="s">
        <v>96</v>
      </c>
      <c r="F69" t="s">
        <v>169</v>
      </c>
      <c r="G69" t="s">
        <v>170</v>
      </c>
      <c r="H69" s="1">
        <v>100000</v>
      </c>
      <c r="I69" t="s">
        <v>76</v>
      </c>
      <c r="J69" t="s">
        <v>171</v>
      </c>
      <c r="L69" t="s">
        <v>166</v>
      </c>
      <c r="M69" s="1">
        <v>100000</v>
      </c>
      <c r="N69" s="1">
        <v>0</v>
      </c>
      <c r="O69" t="s">
        <v>36</v>
      </c>
      <c r="P69" t="s">
        <v>26</v>
      </c>
    </row>
    <row r="70" spans="1:16" x14ac:dyDescent="0.2">
      <c r="A70" t="s">
        <v>114</v>
      </c>
      <c r="B70" t="s">
        <v>115</v>
      </c>
      <c r="C70" t="s">
        <v>180</v>
      </c>
      <c r="D70" t="s">
        <v>224</v>
      </c>
      <c r="E70" t="s">
        <v>96</v>
      </c>
      <c r="F70" t="s">
        <v>117</v>
      </c>
      <c r="G70" t="s">
        <v>118</v>
      </c>
      <c r="H70" s="1">
        <v>20000</v>
      </c>
      <c r="I70" t="s">
        <v>225</v>
      </c>
      <c r="J70" t="s">
        <v>120</v>
      </c>
      <c r="L70" t="s">
        <v>114</v>
      </c>
      <c r="M70" s="1">
        <v>100000</v>
      </c>
      <c r="N70" s="1">
        <v>0</v>
      </c>
      <c r="O70" t="s">
        <v>121</v>
      </c>
      <c r="P70" t="s">
        <v>26</v>
      </c>
    </row>
    <row r="71" spans="1:16" x14ac:dyDescent="0.2">
      <c r="A71" t="s">
        <v>40</v>
      </c>
      <c r="B71" t="s">
        <v>64</v>
      </c>
      <c r="C71" t="s">
        <v>188</v>
      </c>
      <c r="D71" t="s">
        <v>226</v>
      </c>
      <c r="H71" s="1">
        <v>100000</v>
      </c>
      <c r="M71" s="1">
        <v>100000</v>
      </c>
      <c r="N71" s="1">
        <v>0</v>
      </c>
      <c r="O71" t="s">
        <v>49</v>
      </c>
      <c r="P71" t="s">
        <v>26</v>
      </c>
    </row>
    <row r="72" spans="1:16" x14ac:dyDescent="0.2">
      <c r="A72" t="s">
        <v>40</v>
      </c>
      <c r="B72" t="s">
        <v>64</v>
      </c>
      <c r="C72" t="s">
        <v>227</v>
      </c>
      <c r="D72" t="s">
        <v>228</v>
      </c>
      <c r="H72" s="1">
        <v>100000</v>
      </c>
      <c r="M72" s="1">
        <v>100000</v>
      </c>
      <c r="N72" s="1">
        <v>0</v>
      </c>
      <c r="O72" t="s">
        <v>49</v>
      </c>
      <c r="P72" t="s">
        <v>26</v>
      </c>
    </row>
    <row r="73" spans="1:16" x14ac:dyDescent="0.2">
      <c r="A73" t="s">
        <v>229</v>
      </c>
      <c r="B73" t="s">
        <v>17</v>
      </c>
      <c r="C73" t="s">
        <v>230</v>
      </c>
      <c r="D73">
        <v>314956201</v>
      </c>
      <c r="H73" s="1"/>
      <c r="M73" s="1">
        <v>99291.95</v>
      </c>
      <c r="N73" s="1">
        <v>0</v>
      </c>
      <c r="O73" t="s">
        <v>25</v>
      </c>
      <c r="P73" t="s">
        <v>26</v>
      </c>
    </row>
    <row r="74" spans="1:16" x14ac:dyDescent="0.2">
      <c r="A74" t="s">
        <v>27</v>
      </c>
      <c r="B74" t="s">
        <v>28</v>
      </c>
      <c r="C74" t="s">
        <v>227</v>
      </c>
      <c r="D74">
        <v>236992</v>
      </c>
      <c r="E74" t="s">
        <v>19</v>
      </c>
      <c r="F74" t="s">
        <v>218</v>
      </c>
      <c r="G74" t="s">
        <v>219</v>
      </c>
      <c r="H74" s="1">
        <v>99000</v>
      </c>
      <c r="I74" t="s">
        <v>231</v>
      </c>
      <c r="J74" t="s">
        <v>83</v>
      </c>
      <c r="L74" t="s">
        <v>27</v>
      </c>
      <c r="M74" s="1">
        <v>99000</v>
      </c>
      <c r="N74" s="1">
        <v>0</v>
      </c>
      <c r="O74" t="s">
        <v>36</v>
      </c>
      <c r="P74" t="s">
        <v>26</v>
      </c>
    </row>
    <row r="75" spans="1:16" x14ac:dyDescent="0.2">
      <c r="A75" t="s">
        <v>27</v>
      </c>
      <c r="B75" t="s">
        <v>28</v>
      </c>
      <c r="C75" t="s">
        <v>232</v>
      </c>
      <c r="D75">
        <v>236235</v>
      </c>
      <c r="E75" t="s">
        <v>67</v>
      </c>
      <c r="F75" t="s">
        <v>218</v>
      </c>
      <c r="G75" t="s">
        <v>219</v>
      </c>
      <c r="H75" s="1">
        <v>92000</v>
      </c>
      <c r="I75" t="s">
        <v>233</v>
      </c>
      <c r="J75" t="s">
        <v>83</v>
      </c>
      <c r="L75" t="s">
        <v>27</v>
      </c>
      <c r="M75" s="1">
        <v>92000</v>
      </c>
      <c r="N75" s="1">
        <v>0</v>
      </c>
      <c r="O75" t="s">
        <v>36</v>
      </c>
      <c r="P75" t="s">
        <v>26</v>
      </c>
    </row>
    <row r="76" spans="1:16" x14ac:dyDescent="0.2">
      <c r="A76" t="s">
        <v>141</v>
      </c>
      <c r="B76" t="s">
        <v>142</v>
      </c>
      <c r="C76" t="s">
        <v>234</v>
      </c>
      <c r="D76" t="s">
        <v>235</v>
      </c>
      <c r="E76" t="s">
        <v>38</v>
      </c>
      <c r="F76" t="s">
        <v>145</v>
      </c>
      <c r="G76" t="s">
        <v>146</v>
      </c>
      <c r="H76" s="1">
        <v>91560</v>
      </c>
      <c r="I76" t="s">
        <v>236</v>
      </c>
      <c r="J76" t="s">
        <v>148</v>
      </c>
      <c r="L76" t="s">
        <v>141</v>
      </c>
      <c r="M76" s="1">
        <v>90300</v>
      </c>
      <c r="N76" s="1">
        <v>0</v>
      </c>
      <c r="O76" t="s">
        <v>113</v>
      </c>
      <c r="P76" t="s">
        <v>26</v>
      </c>
    </row>
    <row r="77" spans="1:16" x14ac:dyDescent="0.2">
      <c r="A77" t="s">
        <v>27</v>
      </c>
      <c r="B77" t="s">
        <v>28</v>
      </c>
      <c r="C77" t="s">
        <v>237</v>
      </c>
      <c r="D77" t="s">
        <v>238</v>
      </c>
      <c r="E77" t="s">
        <v>96</v>
      </c>
      <c r="F77" t="s">
        <v>218</v>
      </c>
      <c r="G77" t="s">
        <v>219</v>
      </c>
      <c r="H77" s="1">
        <v>87000</v>
      </c>
      <c r="I77" t="s">
        <v>239</v>
      </c>
      <c r="J77" t="s">
        <v>83</v>
      </c>
      <c r="L77" t="s">
        <v>27</v>
      </c>
      <c r="M77" s="1">
        <v>87000</v>
      </c>
      <c r="N77" s="1">
        <v>0</v>
      </c>
      <c r="O77" t="s">
        <v>36</v>
      </c>
      <c r="P77" t="s">
        <v>26</v>
      </c>
    </row>
    <row r="78" spans="1:16" x14ac:dyDescent="0.2">
      <c r="A78" t="s">
        <v>110</v>
      </c>
      <c r="B78" t="s">
        <v>111</v>
      </c>
      <c r="C78" t="s">
        <v>240</v>
      </c>
      <c r="D78">
        <v>400667</v>
      </c>
      <c r="E78" t="s">
        <v>38</v>
      </c>
      <c r="F78" t="s">
        <v>241</v>
      </c>
      <c r="G78" t="s">
        <v>242</v>
      </c>
      <c r="H78" s="1">
        <v>77833.600000000006</v>
      </c>
      <c r="I78" t="s">
        <v>243</v>
      </c>
      <c r="J78" t="s">
        <v>148</v>
      </c>
      <c r="L78" t="s">
        <v>110</v>
      </c>
      <c r="M78" s="1">
        <v>85064</v>
      </c>
      <c r="N78" s="1">
        <v>0</v>
      </c>
      <c r="O78" t="s">
        <v>113</v>
      </c>
      <c r="P78" t="s">
        <v>26</v>
      </c>
    </row>
    <row r="79" spans="1:16" x14ac:dyDescent="0.2">
      <c r="A79" t="s">
        <v>141</v>
      </c>
      <c r="B79" t="s">
        <v>244</v>
      </c>
      <c r="C79" t="s">
        <v>240</v>
      </c>
      <c r="D79" t="s">
        <v>245</v>
      </c>
      <c r="E79" t="s">
        <v>38</v>
      </c>
      <c r="F79" t="s">
        <v>246</v>
      </c>
      <c r="G79" t="s">
        <v>244</v>
      </c>
      <c r="H79" s="1">
        <v>85050</v>
      </c>
      <c r="I79" t="s">
        <v>247</v>
      </c>
      <c r="J79" t="s">
        <v>148</v>
      </c>
      <c r="L79" t="s">
        <v>141</v>
      </c>
      <c r="M79" s="1">
        <v>85050</v>
      </c>
      <c r="N79" s="1">
        <v>0</v>
      </c>
      <c r="O79" t="s">
        <v>113</v>
      </c>
      <c r="P79" t="s">
        <v>26</v>
      </c>
    </row>
    <row r="80" spans="1:16" x14ac:dyDescent="0.2">
      <c r="A80" t="s">
        <v>27</v>
      </c>
      <c r="B80" t="s">
        <v>28</v>
      </c>
      <c r="C80" t="s">
        <v>248</v>
      </c>
      <c r="D80">
        <v>236009</v>
      </c>
      <c r="E80" t="s">
        <v>67</v>
      </c>
      <c r="F80" t="s">
        <v>249</v>
      </c>
      <c r="G80" t="s">
        <v>250</v>
      </c>
      <c r="H80" s="1">
        <v>77878.399999999994</v>
      </c>
      <c r="I80" t="s">
        <v>251</v>
      </c>
      <c r="J80" t="s">
        <v>83</v>
      </c>
      <c r="L80" t="s">
        <v>27</v>
      </c>
      <c r="M80" s="1">
        <v>80000</v>
      </c>
      <c r="N80" s="1">
        <v>0</v>
      </c>
      <c r="O80" t="s">
        <v>36</v>
      </c>
      <c r="P80" t="s">
        <v>26</v>
      </c>
    </row>
    <row r="81" spans="1:16" x14ac:dyDescent="0.2">
      <c r="A81" t="s">
        <v>141</v>
      </c>
      <c r="B81" t="s">
        <v>142</v>
      </c>
      <c r="C81" t="s">
        <v>252</v>
      </c>
      <c r="D81" t="s">
        <v>253</v>
      </c>
      <c r="E81" t="s">
        <v>38</v>
      </c>
      <c r="F81" t="s">
        <v>145</v>
      </c>
      <c r="G81" t="s">
        <v>146</v>
      </c>
      <c r="H81" s="1">
        <v>80660</v>
      </c>
      <c r="I81" t="s">
        <v>254</v>
      </c>
      <c r="J81" t="s">
        <v>148</v>
      </c>
      <c r="L81" t="s">
        <v>141</v>
      </c>
      <c r="M81" s="1">
        <v>79550</v>
      </c>
      <c r="N81" s="1">
        <v>0</v>
      </c>
      <c r="O81" t="s">
        <v>113</v>
      </c>
      <c r="P81" t="s">
        <v>26</v>
      </c>
    </row>
    <row r="82" spans="1:16" x14ac:dyDescent="0.2">
      <c r="A82" t="s">
        <v>27</v>
      </c>
      <c r="B82" t="s">
        <v>28</v>
      </c>
      <c r="C82" t="s">
        <v>255</v>
      </c>
      <c r="D82">
        <v>236996</v>
      </c>
      <c r="E82" t="s">
        <v>256</v>
      </c>
      <c r="F82" t="s">
        <v>218</v>
      </c>
      <c r="G82" t="s">
        <v>219</v>
      </c>
      <c r="H82" s="1">
        <v>68000</v>
      </c>
      <c r="I82" t="s">
        <v>257</v>
      </c>
      <c r="J82" t="s">
        <v>83</v>
      </c>
      <c r="L82" t="s">
        <v>27</v>
      </c>
      <c r="M82" s="1">
        <v>68000</v>
      </c>
      <c r="N82" s="1">
        <v>0</v>
      </c>
      <c r="O82" t="s">
        <v>36</v>
      </c>
      <c r="P82" t="s">
        <v>26</v>
      </c>
    </row>
    <row r="83" spans="1:16" x14ac:dyDescent="0.2">
      <c r="A83" t="s">
        <v>110</v>
      </c>
      <c r="B83" t="s">
        <v>258</v>
      </c>
      <c r="C83" t="s">
        <v>259</v>
      </c>
      <c r="D83">
        <v>410793</v>
      </c>
      <c r="E83" t="s">
        <v>38</v>
      </c>
      <c r="F83" t="s">
        <v>260</v>
      </c>
      <c r="G83" t="s">
        <v>258</v>
      </c>
      <c r="H83" s="1">
        <v>56309.1</v>
      </c>
      <c r="I83" t="s">
        <v>82</v>
      </c>
      <c r="J83" t="s">
        <v>148</v>
      </c>
      <c r="L83" t="s">
        <v>110</v>
      </c>
      <c r="M83" s="1">
        <v>60024</v>
      </c>
      <c r="N83" s="1">
        <v>0</v>
      </c>
      <c r="O83" t="s">
        <v>261</v>
      </c>
      <c r="P83" t="s">
        <v>26</v>
      </c>
    </row>
    <row r="84" spans="1:16" x14ac:dyDescent="0.2">
      <c r="A84" t="s">
        <v>141</v>
      </c>
      <c r="B84" t="s">
        <v>244</v>
      </c>
      <c r="C84" t="s">
        <v>259</v>
      </c>
      <c r="D84" t="s">
        <v>262</v>
      </c>
      <c r="E84" t="s">
        <v>38</v>
      </c>
      <c r="F84" t="s">
        <v>246</v>
      </c>
      <c r="G84" t="s">
        <v>244</v>
      </c>
      <c r="H84" s="1">
        <v>50085</v>
      </c>
      <c r="I84" t="s">
        <v>263</v>
      </c>
      <c r="J84" t="s">
        <v>148</v>
      </c>
      <c r="L84" t="s">
        <v>141</v>
      </c>
      <c r="M84" s="1">
        <v>50085</v>
      </c>
      <c r="N84" s="1">
        <v>0</v>
      </c>
      <c r="O84" t="s">
        <v>113</v>
      </c>
      <c r="P84" t="s">
        <v>26</v>
      </c>
    </row>
    <row r="85" spans="1:16" x14ac:dyDescent="0.2">
      <c r="A85" t="s">
        <v>141</v>
      </c>
      <c r="B85" t="s">
        <v>244</v>
      </c>
      <c r="C85" t="s">
        <v>264</v>
      </c>
      <c r="D85" t="s">
        <v>265</v>
      </c>
      <c r="E85" t="s">
        <v>38</v>
      </c>
      <c r="F85" t="s">
        <v>246</v>
      </c>
      <c r="G85" t="s">
        <v>244</v>
      </c>
      <c r="H85" s="1">
        <v>99603</v>
      </c>
      <c r="I85" t="s">
        <v>266</v>
      </c>
      <c r="J85" t="s">
        <v>148</v>
      </c>
      <c r="L85" t="s">
        <v>141</v>
      </c>
      <c r="M85" s="1">
        <v>50085</v>
      </c>
      <c r="N85" s="1">
        <v>0</v>
      </c>
      <c r="O85" t="s">
        <v>113</v>
      </c>
      <c r="P85" t="s">
        <v>26</v>
      </c>
    </row>
    <row r="86" spans="1:16" x14ac:dyDescent="0.2">
      <c r="A86" t="s">
        <v>27</v>
      </c>
      <c r="B86" t="s">
        <v>28</v>
      </c>
      <c r="C86" t="s">
        <v>267</v>
      </c>
      <c r="D86">
        <v>236209</v>
      </c>
      <c r="E86" t="s">
        <v>67</v>
      </c>
      <c r="F86" t="s">
        <v>218</v>
      </c>
      <c r="G86" t="s">
        <v>219</v>
      </c>
      <c r="H86" s="1">
        <v>50000</v>
      </c>
      <c r="I86" t="s">
        <v>268</v>
      </c>
      <c r="J86" t="s">
        <v>83</v>
      </c>
      <c r="L86" t="s">
        <v>27</v>
      </c>
      <c r="M86" s="1">
        <v>50000</v>
      </c>
      <c r="N86" s="1">
        <v>0</v>
      </c>
      <c r="O86" t="s">
        <v>36</v>
      </c>
      <c r="P86" t="s">
        <v>26</v>
      </c>
    </row>
    <row r="87" spans="1:16" x14ac:dyDescent="0.2">
      <c r="A87" t="s">
        <v>27</v>
      </c>
      <c r="B87" t="s">
        <v>28</v>
      </c>
      <c r="C87" t="s">
        <v>259</v>
      </c>
      <c r="D87">
        <v>237006</v>
      </c>
      <c r="E87" t="s">
        <v>38</v>
      </c>
      <c r="F87" t="s">
        <v>218</v>
      </c>
      <c r="G87" t="s">
        <v>219</v>
      </c>
      <c r="H87" s="1">
        <v>50000</v>
      </c>
      <c r="I87" t="s">
        <v>269</v>
      </c>
      <c r="J87" t="s">
        <v>83</v>
      </c>
      <c r="L87" t="s">
        <v>27</v>
      </c>
      <c r="M87" s="1">
        <v>50000</v>
      </c>
      <c r="N87" s="1">
        <v>0</v>
      </c>
      <c r="O87" t="s">
        <v>36</v>
      </c>
      <c r="P87" t="s">
        <v>26</v>
      </c>
    </row>
    <row r="88" spans="1:16" x14ac:dyDescent="0.2">
      <c r="A88" t="s">
        <v>27</v>
      </c>
      <c r="B88" t="s">
        <v>28</v>
      </c>
      <c r="C88" t="s">
        <v>270</v>
      </c>
      <c r="D88">
        <v>236463</v>
      </c>
      <c r="E88" t="s">
        <v>75</v>
      </c>
      <c r="F88" t="s">
        <v>218</v>
      </c>
      <c r="G88" t="s">
        <v>219</v>
      </c>
      <c r="H88" s="1">
        <v>50000</v>
      </c>
      <c r="I88" t="s">
        <v>271</v>
      </c>
      <c r="J88" t="s">
        <v>83</v>
      </c>
      <c r="L88" t="s">
        <v>27</v>
      </c>
      <c r="M88" s="1">
        <v>50000</v>
      </c>
      <c r="N88" s="1">
        <v>0</v>
      </c>
      <c r="O88" t="s">
        <v>36</v>
      </c>
      <c r="P88" t="s">
        <v>26</v>
      </c>
    </row>
    <row r="89" spans="1:16" x14ac:dyDescent="0.2">
      <c r="A89" t="s">
        <v>27</v>
      </c>
      <c r="B89" t="s">
        <v>28</v>
      </c>
      <c r="C89" t="s">
        <v>272</v>
      </c>
      <c r="D89">
        <v>237435</v>
      </c>
      <c r="E89" t="s">
        <v>31</v>
      </c>
      <c r="F89" t="s">
        <v>218</v>
      </c>
      <c r="G89" t="s">
        <v>219</v>
      </c>
      <c r="H89" s="1">
        <v>50000</v>
      </c>
      <c r="I89" t="s">
        <v>273</v>
      </c>
      <c r="J89" t="s">
        <v>83</v>
      </c>
      <c r="L89" t="s">
        <v>27</v>
      </c>
      <c r="M89" s="1">
        <v>50000</v>
      </c>
      <c r="N89" s="1">
        <v>0</v>
      </c>
      <c r="O89" t="s">
        <v>36</v>
      </c>
      <c r="P89" t="s">
        <v>26</v>
      </c>
    </row>
    <row r="90" spans="1:16" x14ac:dyDescent="0.2">
      <c r="A90" t="s">
        <v>27</v>
      </c>
      <c r="B90" t="s">
        <v>28</v>
      </c>
      <c r="C90" t="s">
        <v>194</v>
      </c>
      <c r="D90">
        <v>237007</v>
      </c>
      <c r="E90" t="s">
        <v>31</v>
      </c>
      <c r="F90" t="s">
        <v>218</v>
      </c>
      <c r="G90" t="s">
        <v>219</v>
      </c>
      <c r="H90" s="1">
        <v>50000</v>
      </c>
      <c r="I90" t="s">
        <v>274</v>
      </c>
      <c r="J90" t="s">
        <v>83</v>
      </c>
      <c r="L90" t="s">
        <v>27</v>
      </c>
      <c r="M90" s="1">
        <v>50000</v>
      </c>
      <c r="N90" s="1">
        <v>0</v>
      </c>
      <c r="O90" t="s">
        <v>36</v>
      </c>
      <c r="P90" t="s">
        <v>26</v>
      </c>
    </row>
    <row r="91" spans="1:16" x14ac:dyDescent="0.2">
      <c r="A91" t="s">
        <v>114</v>
      </c>
      <c r="B91" t="s">
        <v>115</v>
      </c>
      <c r="C91" t="s">
        <v>275</v>
      </c>
      <c r="D91" t="s">
        <v>276</v>
      </c>
      <c r="E91" t="s">
        <v>71</v>
      </c>
      <c r="F91" t="s">
        <v>117</v>
      </c>
      <c r="G91" t="s">
        <v>118</v>
      </c>
      <c r="H91" s="1">
        <v>13875</v>
      </c>
      <c r="I91" t="s">
        <v>277</v>
      </c>
      <c r="J91" t="s">
        <v>120</v>
      </c>
      <c r="L91" t="s">
        <v>114</v>
      </c>
      <c r="M91" s="1">
        <v>45113</v>
      </c>
      <c r="N91" s="1">
        <v>0</v>
      </c>
      <c r="O91" t="s">
        <v>121</v>
      </c>
      <c r="P91" t="s">
        <v>26</v>
      </c>
    </row>
    <row r="92" spans="1:16" x14ac:dyDescent="0.2">
      <c r="A92" t="s">
        <v>278</v>
      </c>
      <c r="B92" t="s">
        <v>279</v>
      </c>
      <c r="C92" t="s">
        <v>280</v>
      </c>
      <c r="D92" t="s">
        <v>281</v>
      </c>
      <c r="E92" t="s">
        <v>96</v>
      </c>
      <c r="F92" t="s">
        <v>45</v>
      </c>
      <c r="G92" t="s">
        <v>46</v>
      </c>
      <c r="H92" s="1">
        <v>45000</v>
      </c>
      <c r="I92" t="s">
        <v>282</v>
      </c>
      <c r="J92" t="s">
        <v>23</v>
      </c>
      <c r="L92" t="s">
        <v>48</v>
      </c>
      <c r="M92" s="1">
        <v>45000</v>
      </c>
      <c r="N92" s="1">
        <v>0</v>
      </c>
      <c r="O92" t="s">
        <v>283</v>
      </c>
      <c r="P92" t="s">
        <v>26</v>
      </c>
    </row>
    <row r="93" spans="1:16" x14ac:dyDescent="0.2">
      <c r="A93" t="s">
        <v>27</v>
      </c>
      <c r="B93" t="s">
        <v>28</v>
      </c>
      <c r="C93" t="s">
        <v>284</v>
      </c>
      <c r="D93">
        <v>236478</v>
      </c>
      <c r="E93" t="s">
        <v>67</v>
      </c>
      <c r="F93" t="s">
        <v>218</v>
      </c>
      <c r="G93" t="s">
        <v>219</v>
      </c>
      <c r="H93" s="1">
        <v>44000</v>
      </c>
      <c r="I93" t="s">
        <v>285</v>
      </c>
      <c r="J93" t="s">
        <v>83</v>
      </c>
      <c r="L93" t="s">
        <v>27</v>
      </c>
      <c r="M93" s="1">
        <v>44000</v>
      </c>
      <c r="N93" s="1">
        <v>0</v>
      </c>
      <c r="O93" t="s">
        <v>36</v>
      </c>
      <c r="P93" t="s">
        <v>26</v>
      </c>
    </row>
    <row r="94" spans="1:16" x14ac:dyDescent="0.2">
      <c r="A94" t="s">
        <v>27</v>
      </c>
      <c r="B94" t="s">
        <v>28</v>
      </c>
      <c r="C94" t="s">
        <v>286</v>
      </c>
      <c r="D94">
        <v>235986</v>
      </c>
      <c r="E94" t="s">
        <v>71</v>
      </c>
      <c r="F94" t="s">
        <v>249</v>
      </c>
      <c r="G94" t="s">
        <v>250</v>
      </c>
      <c r="H94" s="1">
        <v>38939.199999999997</v>
      </c>
      <c r="I94" t="s">
        <v>287</v>
      </c>
      <c r="J94" t="s">
        <v>83</v>
      </c>
      <c r="L94" t="s">
        <v>27</v>
      </c>
      <c r="M94" s="1">
        <v>40000</v>
      </c>
      <c r="N94" s="1">
        <v>0</v>
      </c>
      <c r="O94" t="s">
        <v>36</v>
      </c>
      <c r="P94" t="s">
        <v>26</v>
      </c>
    </row>
    <row r="95" spans="1:16" x14ac:dyDescent="0.2">
      <c r="A95" t="s">
        <v>114</v>
      </c>
      <c r="B95" t="s">
        <v>115</v>
      </c>
      <c r="C95" t="s">
        <v>288</v>
      </c>
      <c r="D95" t="s">
        <v>289</v>
      </c>
      <c r="E95" t="s">
        <v>96</v>
      </c>
      <c r="F95" t="s">
        <v>290</v>
      </c>
      <c r="G95" t="s">
        <v>291</v>
      </c>
      <c r="H95" s="1">
        <v>20000</v>
      </c>
      <c r="I95" t="s">
        <v>292</v>
      </c>
      <c r="J95" t="s">
        <v>120</v>
      </c>
      <c r="L95" t="s">
        <v>114</v>
      </c>
      <c r="M95" s="1">
        <v>40000</v>
      </c>
      <c r="N95" s="1">
        <v>0</v>
      </c>
      <c r="O95" t="s">
        <v>121</v>
      </c>
      <c r="P95" t="s">
        <v>26</v>
      </c>
    </row>
    <row r="96" spans="1:16" x14ac:dyDescent="0.2">
      <c r="A96" t="s">
        <v>110</v>
      </c>
      <c r="B96" t="s">
        <v>258</v>
      </c>
      <c r="C96" t="s">
        <v>293</v>
      </c>
      <c r="D96">
        <v>410800</v>
      </c>
      <c r="E96" t="s">
        <v>31</v>
      </c>
      <c r="F96" t="s">
        <v>260</v>
      </c>
      <c r="G96" t="s">
        <v>258</v>
      </c>
      <c r="H96" s="1">
        <v>18462</v>
      </c>
      <c r="I96" t="s">
        <v>198</v>
      </c>
      <c r="J96" t="s">
        <v>148</v>
      </c>
      <c r="L96" t="s">
        <v>110</v>
      </c>
      <c r="M96" s="1">
        <v>39672</v>
      </c>
      <c r="N96" s="1">
        <v>0</v>
      </c>
      <c r="O96" t="s">
        <v>113</v>
      </c>
      <c r="P96" t="s">
        <v>26</v>
      </c>
    </row>
    <row r="97" spans="1:16" x14ac:dyDescent="0.2">
      <c r="A97" t="s">
        <v>27</v>
      </c>
      <c r="B97" t="s">
        <v>28</v>
      </c>
      <c r="C97" t="s">
        <v>288</v>
      </c>
      <c r="D97">
        <v>237255</v>
      </c>
      <c r="E97" t="s">
        <v>96</v>
      </c>
      <c r="F97" t="s">
        <v>218</v>
      </c>
      <c r="G97" t="s">
        <v>219</v>
      </c>
      <c r="H97" s="1">
        <v>38000</v>
      </c>
      <c r="I97" t="s">
        <v>76</v>
      </c>
      <c r="J97" t="s">
        <v>83</v>
      </c>
      <c r="L97" t="s">
        <v>27</v>
      </c>
      <c r="M97" s="1">
        <v>38000</v>
      </c>
      <c r="N97" s="1">
        <v>0</v>
      </c>
      <c r="O97" t="s">
        <v>36</v>
      </c>
      <c r="P97" t="s">
        <v>26</v>
      </c>
    </row>
    <row r="98" spans="1:16" x14ac:dyDescent="0.2">
      <c r="A98" t="s">
        <v>141</v>
      </c>
      <c r="B98" t="s">
        <v>244</v>
      </c>
      <c r="C98" t="s">
        <v>252</v>
      </c>
      <c r="D98" t="s">
        <v>294</v>
      </c>
      <c r="E98" t="s">
        <v>38</v>
      </c>
      <c r="F98" t="s">
        <v>246</v>
      </c>
      <c r="G98" t="s">
        <v>244</v>
      </c>
      <c r="H98" s="1">
        <v>35154</v>
      </c>
      <c r="I98" t="s">
        <v>254</v>
      </c>
      <c r="J98" t="s">
        <v>148</v>
      </c>
      <c r="L98" t="s">
        <v>141</v>
      </c>
      <c r="M98" s="1">
        <v>35154</v>
      </c>
      <c r="N98" s="1">
        <v>0</v>
      </c>
      <c r="O98" t="s">
        <v>113</v>
      </c>
      <c r="P98" t="s">
        <v>26</v>
      </c>
    </row>
    <row r="99" spans="1:16" x14ac:dyDescent="0.2">
      <c r="A99" t="s">
        <v>295</v>
      </c>
      <c r="B99" t="s">
        <v>296</v>
      </c>
      <c r="C99" t="s">
        <v>297</v>
      </c>
      <c r="D99">
        <v>11174</v>
      </c>
      <c r="E99" t="s">
        <v>192</v>
      </c>
      <c r="F99" t="s">
        <v>298</v>
      </c>
      <c r="G99" t="s">
        <v>299</v>
      </c>
      <c r="H99" s="1">
        <v>16014.5</v>
      </c>
      <c r="I99" t="s">
        <v>300</v>
      </c>
      <c r="M99" s="1">
        <v>32846.6</v>
      </c>
      <c r="N99" s="1">
        <v>0</v>
      </c>
      <c r="O99" t="s">
        <v>301</v>
      </c>
      <c r="P99" t="s">
        <v>26</v>
      </c>
    </row>
    <row r="100" spans="1:16" x14ac:dyDescent="0.2">
      <c r="A100" t="s">
        <v>114</v>
      </c>
      <c r="B100" t="s">
        <v>115</v>
      </c>
      <c r="C100" t="s">
        <v>302</v>
      </c>
      <c r="D100" t="s">
        <v>303</v>
      </c>
      <c r="E100" t="s">
        <v>96</v>
      </c>
      <c r="F100" t="s">
        <v>304</v>
      </c>
      <c r="G100" t="s">
        <v>305</v>
      </c>
      <c r="H100" s="1">
        <v>21691.3</v>
      </c>
      <c r="I100" t="s">
        <v>306</v>
      </c>
      <c r="J100" t="s">
        <v>120</v>
      </c>
      <c r="L100" t="s">
        <v>114</v>
      </c>
      <c r="M100" s="1">
        <v>30113</v>
      </c>
      <c r="N100" s="1">
        <v>0</v>
      </c>
      <c r="O100" t="s">
        <v>121</v>
      </c>
      <c r="P100" t="s">
        <v>26</v>
      </c>
    </row>
    <row r="101" spans="1:16" x14ac:dyDescent="0.2">
      <c r="A101" t="s">
        <v>27</v>
      </c>
      <c r="B101" t="s">
        <v>28</v>
      </c>
      <c r="C101" t="s">
        <v>307</v>
      </c>
      <c r="D101">
        <v>236977</v>
      </c>
      <c r="E101" t="s">
        <v>31</v>
      </c>
      <c r="F101" t="s">
        <v>218</v>
      </c>
      <c r="G101" t="s">
        <v>219</v>
      </c>
      <c r="H101" s="1">
        <v>30000</v>
      </c>
      <c r="I101" t="s">
        <v>308</v>
      </c>
      <c r="J101" t="s">
        <v>83</v>
      </c>
      <c r="L101" t="s">
        <v>27</v>
      </c>
      <c r="M101" s="1">
        <v>30000</v>
      </c>
      <c r="N101" s="1">
        <v>0</v>
      </c>
      <c r="O101" t="s">
        <v>36</v>
      </c>
      <c r="P101" t="s">
        <v>26</v>
      </c>
    </row>
    <row r="102" spans="1:16" x14ac:dyDescent="0.2">
      <c r="A102" t="s">
        <v>114</v>
      </c>
      <c r="B102" t="s">
        <v>115</v>
      </c>
      <c r="C102" t="s">
        <v>309</v>
      </c>
      <c r="D102" t="s">
        <v>310</v>
      </c>
      <c r="E102" t="s">
        <v>311</v>
      </c>
      <c r="F102" t="s">
        <v>312</v>
      </c>
      <c r="G102" t="s">
        <v>313</v>
      </c>
      <c r="H102" s="1">
        <v>15000</v>
      </c>
      <c r="I102" t="s">
        <v>314</v>
      </c>
      <c r="J102" t="s">
        <v>120</v>
      </c>
      <c r="L102" t="s">
        <v>114</v>
      </c>
      <c r="M102" s="1">
        <v>30000</v>
      </c>
      <c r="N102" s="1">
        <v>0</v>
      </c>
      <c r="O102" t="s">
        <v>121</v>
      </c>
      <c r="P102" t="s">
        <v>26</v>
      </c>
    </row>
    <row r="103" spans="1:16" x14ac:dyDescent="0.2">
      <c r="A103" t="s">
        <v>114</v>
      </c>
      <c r="B103" t="s">
        <v>115</v>
      </c>
      <c r="C103" t="s">
        <v>315</v>
      </c>
      <c r="D103" t="s">
        <v>316</v>
      </c>
      <c r="E103" t="s">
        <v>96</v>
      </c>
      <c r="F103" t="s">
        <v>312</v>
      </c>
      <c r="G103" t="s">
        <v>313</v>
      </c>
      <c r="H103" s="1">
        <v>15000</v>
      </c>
      <c r="I103" t="s">
        <v>317</v>
      </c>
      <c r="J103" t="s">
        <v>120</v>
      </c>
      <c r="L103" t="s">
        <v>114</v>
      </c>
      <c r="M103" s="1">
        <v>30000</v>
      </c>
      <c r="N103" s="1">
        <v>0</v>
      </c>
      <c r="O103" t="s">
        <v>121</v>
      </c>
      <c r="P103" t="s">
        <v>26</v>
      </c>
    </row>
    <row r="104" spans="1:16" x14ac:dyDescent="0.2">
      <c r="A104" t="s">
        <v>27</v>
      </c>
      <c r="B104" t="s">
        <v>28</v>
      </c>
      <c r="C104" t="s">
        <v>318</v>
      </c>
      <c r="D104">
        <v>235985</v>
      </c>
      <c r="E104" t="s">
        <v>256</v>
      </c>
      <c r="F104" t="s">
        <v>249</v>
      </c>
      <c r="G104" t="s">
        <v>250</v>
      </c>
      <c r="H104" s="1">
        <v>28230.9</v>
      </c>
      <c r="I104" t="s">
        <v>287</v>
      </c>
      <c r="J104" t="s">
        <v>83</v>
      </c>
      <c r="L104" t="s">
        <v>27</v>
      </c>
      <c r="M104" s="1">
        <v>29000</v>
      </c>
      <c r="N104" s="1">
        <v>0</v>
      </c>
      <c r="O104" t="s">
        <v>36</v>
      </c>
      <c r="P104" t="s">
        <v>26</v>
      </c>
    </row>
    <row r="105" spans="1:16" x14ac:dyDescent="0.2">
      <c r="A105" t="s">
        <v>141</v>
      </c>
      <c r="B105" t="s">
        <v>244</v>
      </c>
      <c r="C105" t="s">
        <v>319</v>
      </c>
      <c r="D105" t="s">
        <v>320</v>
      </c>
      <c r="E105" t="s">
        <v>203</v>
      </c>
      <c r="F105" t="s">
        <v>246</v>
      </c>
      <c r="G105" t="s">
        <v>244</v>
      </c>
      <c r="H105" s="1">
        <v>27950</v>
      </c>
      <c r="I105" t="s">
        <v>321</v>
      </c>
      <c r="J105" t="s">
        <v>148</v>
      </c>
      <c r="L105" t="s">
        <v>141</v>
      </c>
      <c r="M105" s="1">
        <v>27950</v>
      </c>
      <c r="N105" s="1">
        <v>0</v>
      </c>
      <c r="O105" t="s">
        <v>113</v>
      </c>
      <c r="P105" t="s">
        <v>26</v>
      </c>
    </row>
    <row r="106" spans="1:16" x14ac:dyDescent="0.2">
      <c r="A106" t="s">
        <v>27</v>
      </c>
      <c r="B106" t="s">
        <v>28</v>
      </c>
      <c r="C106" t="s">
        <v>322</v>
      </c>
      <c r="D106">
        <v>237256</v>
      </c>
      <c r="E106" t="s">
        <v>311</v>
      </c>
      <c r="F106" t="s">
        <v>218</v>
      </c>
      <c r="G106" t="s">
        <v>219</v>
      </c>
      <c r="H106" s="1">
        <v>25000</v>
      </c>
      <c r="I106" t="s">
        <v>323</v>
      </c>
      <c r="J106" t="s">
        <v>83</v>
      </c>
      <c r="L106" t="s">
        <v>27</v>
      </c>
      <c r="M106" s="1">
        <v>25000</v>
      </c>
      <c r="N106" s="1">
        <v>0</v>
      </c>
      <c r="O106" t="s">
        <v>36</v>
      </c>
      <c r="P106" t="s">
        <v>26</v>
      </c>
    </row>
    <row r="107" spans="1:16" x14ac:dyDescent="0.2">
      <c r="A107" t="s">
        <v>27</v>
      </c>
      <c r="B107" t="s">
        <v>28</v>
      </c>
      <c r="C107" t="s">
        <v>275</v>
      </c>
      <c r="D107">
        <v>236036</v>
      </c>
      <c r="E107" t="s">
        <v>71</v>
      </c>
      <c r="F107" t="s">
        <v>249</v>
      </c>
      <c r="G107" t="s">
        <v>250</v>
      </c>
      <c r="H107" s="1">
        <v>24337</v>
      </c>
      <c r="I107" t="s">
        <v>324</v>
      </c>
      <c r="J107" t="s">
        <v>83</v>
      </c>
      <c r="L107" t="s">
        <v>27</v>
      </c>
      <c r="M107" s="1">
        <v>25000</v>
      </c>
      <c r="N107" s="1">
        <v>0</v>
      </c>
      <c r="O107" t="s">
        <v>36</v>
      </c>
      <c r="P107" t="s">
        <v>26</v>
      </c>
    </row>
    <row r="108" spans="1:16" x14ac:dyDescent="0.2">
      <c r="A108" t="s">
        <v>27</v>
      </c>
      <c r="B108" t="s">
        <v>28</v>
      </c>
      <c r="C108" t="s">
        <v>325</v>
      </c>
      <c r="D108">
        <v>237257</v>
      </c>
      <c r="E108" t="s">
        <v>71</v>
      </c>
      <c r="F108" t="s">
        <v>218</v>
      </c>
      <c r="G108" t="s">
        <v>219</v>
      </c>
      <c r="H108" s="1">
        <v>25000</v>
      </c>
      <c r="I108" t="s">
        <v>323</v>
      </c>
      <c r="J108" t="s">
        <v>83</v>
      </c>
      <c r="L108" t="s">
        <v>27</v>
      </c>
      <c r="M108" s="1">
        <v>25000</v>
      </c>
      <c r="N108" s="1">
        <v>0</v>
      </c>
      <c r="O108" t="s">
        <v>36</v>
      </c>
      <c r="P108" t="s">
        <v>26</v>
      </c>
    </row>
    <row r="109" spans="1:16" x14ac:dyDescent="0.2">
      <c r="A109" t="s">
        <v>27</v>
      </c>
      <c r="B109" t="s">
        <v>28</v>
      </c>
      <c r="C109" t="s">
        <v>326</v>
      </c>
      <c r="D109">
        <v>236467</v>
      </c>
      <c r="E109" t="s">
        <v>256</v>
      </c>
      <c r="F109" t="s">
        <v>218</v>
      </c>
      <c r="G109" t="s">
        <v>219</v>
      </c>
      <c r="H109" s="1">
        <v>24000</v>
      </c>
      <c r="I109" t="s">
        <v>327</v>
      </c>
      <c r="J109" t="s">
        <v>83</v>
      </c>
      <c r="L109" t="s">
        <v>27</v>
      </c>
      <c r="M109" s="1">
        <v>24000</v>
      </c>
      <c r="N109" s="1">
        <v>0</v>
      </c>
      <c r="O109" t="s">
        <v>36</v>
      </c>
      <c r="P109" t="s">
        <v>26</v>
      </c>
    </row>
    <row r="110" spans="1:16" x14ac:dyDescent="0.2">
      <c r="A110" t="s">
        <v>114</v>
      </c>
      <c r="B110" t="s">
        <v>328</v>
      </c>
      <c r="C110" t="s">
        <v>267</v>
      </c>
      <c r="D110" t="s">
        <v>329</v>
      </c>
      <c r="E110" t="s">
        <v>67</v>
      </c>
      <c r="F110" t="s">
        <v>330</v>
      </c>
      <c r="G110" t="s">
        <v>331</v>
      </c>
      <c r="H110" s="1">
        <v>24000</v>
      </c>
      <c r="I110" t="s">
        <v>332</v>
      </c>
      <c r="J110" t="s">
        <v>120</v>
      </c>
      <c r="L110" t="s">
        <v>114</v>
      </c>
      <c r="M110" s="1">
        <v>24000</v>
      </c>
      <c r="N110" s="1">
        <v>0</v>
      </c>
      <c r="O110" t="s">
        <v>121</v>
      </c>
      <c r="P110" t="s">
        <v>26</v>
      </c>
    </row>
    <row r="111" spans="1:16" x14ac:dyDescent="0.2">
      <c r="A111" t="s">
        <v>141</v>
      </c>
      <c r="B111" t="s">
        <v>244</v>
      </c>
      <c r="C111" t="s">
        <v>333</v>
      </c>
      <c r="D111" t="s">
        <v>334</v>
      </c>
      <c r="E111" t="s">
        <v>31</v>
      </c>
      <c r="F111" t="s">
        <v>246</v>
      </c>
      <c r="G111" t="s">
        <v>244</v>
      </c>
      <c r="H111" s="1">
        <v>22034</v>
      </c>
      <c r="I111" t="s">
        <v>335</v>
      </c>
      <c r="J111" t="s">
        <v>148</v>
      </c>
      <c r="L111" t="s">
        <v>141</v>
      </c>
      <c r="M111" s="1">
        <v>22034</v>
      </c>
      <c r="N111" s="1">
        <v>0</v>
      </c>
      <c r="O111" t="s">
        <v>113</v>
      </c>
      <c r="P111" t="s">
        <v>26</v>
      </c>
    </row>
    <row r="112" spans="1:16" x14ac:dyDescent="0.2">
      <c r="A112" t="s">
        <v>27</v>
      </c>
      <c r="B112" t="s">
        <v>28</v>
      </c>
      <c r="C112" t="s">
        <v>336</v>
      </c>
      <c r="D112">
        <v>236628</v>
      </c>
      <c r="E112" t="s">
        <v>67</v>
      </c>
      <c r="F112" t="s">
        <v>218</v>
      </c>
      <c r="G112" t="s">
        <v>219</v>
      </c>
      <c r="H112" s="1">
        <v>20000</v>
      </c>
      <c r="I112" t="s">
        <v>119</v>
      </c>
      <c r="J112" t="s">
        <v>83</v>
      </c>
      <c r="L112" t="s">
        <v>27</v>
      </c>
      <c r="M112" s="1">
        <v>20000</v>
      </c>
      <c r="N112" s="1">
        <v>0</v>
      </c>
      <c r="O112" t="s">
        <v>36</v>
      </c>
      <c r="P112" t="s">
        <v>26</v>
      </c>
    </row>
    <row r="113" spans="1:16" x14ac:dyDescent="0.2">
      <c r="A113" t="s">
        <v>27</v>
      </c>
      <c r="B113" t="s">
        <v>28</v>
      </c>
      <c r="C113" t="s">
        <v>337</v>
      </c>
      <c r="D113">
        <v>236629</v>
      </c>
      <c r="E113" t="s">
        <v>67</v>
      </c>
      <c r="F113" t="s">
        <v>218</v>
      </c>
      <c r="G113" t="s">
        <v>219</v>
      </c>
      <c r="H113" s="1">
        <v>20000</v>
      </c>
      <c r="I113" t="s">
        <v>119</v>
      </c>
      <c r="J113" t="s">
        <v>83</v>
      </c>
      <c r="L113" t="s">
        <v>27</v>
      </c>
      <c r="M113" s="1">
        <v>20000</v>
      </c>
      <c r="N113" s="1">
        <v>0</v>
      </c>
      <c r="O113" t="s">
        <v>36</v>
      </c>
      <c r="P113" t="s">
        <v>26</v>
      </c>
    </row>
    <row r="114" spans="1:16" x14ac:dyDescent="0.2">
      <c r="A114" t="s">
        <v>27</v>
      </c>
      <c r="B114" t="s">
        <v>28</v>
      </c>
      <c r="C114" t="s">
        <v>338</v>
      </c>
      <c r="D114" t="s">
        <v>339</v>
      </c>
      <c r="E114" t="s">
        <v>311</v>
      </c>
      <c r="F114" t="s">
        <v>218</v>
      </c>
      <c r="G114" t="s">
        <v>219</v>
      </c>
      <c r="H114" s="1">
        <v>20000</v>
      </c>
      <c r="I114" t="s">
        <v>340</v>
      </c>
      <c r="J114" t="s">
        <v>83</v>
      </c>
      <c r="L114" t="s">
        <v>27</v>
      </c>
      <c r="M114" s="1">
        <v>20000</v>
      </c>
      <c r="N114" s="1">
        <v>0</v>
      </c>
      <c r="O114" t="s">
        <v>36</v>
      </c>
      <c r="P114" t="s">
        <v>26</v>
      </c>
    </row>
    <row r="115" spans="1:16" x14ac:dyDescent="0.2">
      <c r="A115" t="s">
        <v>27</v>
      </c>
      <c r="B115" t="s">
        <v>28</v>
      </c>
      <c r="C115" t="s">
        <v>341</v>
      </c>
      <c r="D115">
        <v>236632</v>
      </c>
      <c r="E115" t="s">
        <v>19</v>
      </c>
      <c r="F115" t="s">
        <v>218</v>
      </c>
      <c r="G115" t="s">
        <v>219</v>
      </c>
      <c r="H115" s="1">
        <v>20000</v>
      </c>
      <c r="I115" t="s">
        <v>34</v>
      </c>
      <c r="J115" t="s">
        <v>83</v>
      </c>
      <c r="L115" t="s">
        <v>27</v>
      </c>
      <c r="M115" s="1">
        <v>20000</v>
      </c>
      <c r="N115" s="1">
        <v>0</v>
      </c>
      <c r="O115" t="s">
        <v>36</v>
      </c>
      <c r="P115" t="s">
        <v>26</v>
      </c>
    </row>
    <row r="116" spans="1:16" x14ac:dyDescent="0.2">
      <c r="A116" t="s">
        <v>27</v>
      </c>
      <c r="B116" t="s">
        <v>28</v>
      </c>
      <c r="C116" t="s">
        <v>342</v>
      </c>
      <c r="D116">
        <v>233463</v>
      </c>
      <c r="E116" t="s">
        <v>96</v>
      </c>
      <c r="F116" t="s">
        <v>249</v>
      </c>
      <c r="G116" t="s">
        <v>250</v>
      </c>
      <c r="H116" s="1">
        <v>18496.099999999999</v>
      </c>
      <c r="I116" t="s">
        <v>343</v>
      </c>
      <c r="J116" t="s">
        <v>83</v>
      </c>
      <c r="L116" t="s">
        <v>27</v>
      </c>
      <c r="M116" s="1">
        <v>19000</v>
      </c>
      <c r="N116" s="1">
        <v>0</v>
      </c>
      <c r="O116" t="s">
        <v>36</v>
      </c>
      <c r="P116" t="s">
        <v>26</v>
      </c>
    </row>
    <row r="117" spans="1:16" x14ac:dyDescent="0.2">
      <c r="A117" t="s">
        <v>27</v>
      </c>
      <c r="B117" t="s">
        <v>28</v>
      </c>
      <c r="C117" t="s">
        <v>280</v>
      </c>
      <c r="D117">
        <v>237664</v>
      </c>
      <c r="E117" t="s">
        <v>96</v>
      </c>
      <c r="F117" t="s">
        <v>218</v>
      </c>
      <c r="G117" t="s">
        <v>219</v>
      </c>
      <c r="H117" s="1">
        <v>15000</v>
      </c>
      <c r="I117" t="s">
        <v>344</v>
      </c>
      <c r="J117" t="s">
        <v>83</v>
      </c>
      <c r="L117" t="s">
        <v>27</v>
      </c>
      <c r="M117" s="1">
        <v>15000</v>
      </c>
      <c r="N117" s="1">
        <v>0</v>
      </c>
      <c r="O117" t="s">
        <v>36</v>
      </c>
      <c r="P117" t="s">
        <v>26</v>
      </c>
    </row>
    <row r="118" spans="1:16" x14ac:dyDescent="0.2">
      <c r="A118" t="s">
        <v>114</v>
      </c>
      <c r="B118" t="s">
        <v>115</v>
      </c>
      <c r="C118" t="s">
        <v>345</v>
      </c>
      <c r="D118" t="s">
        <v>346</v>
      </c>
      <c r="E118" t="s">
        <v>311</v>
      </c>
      <c r="F118" t="s">
        <v>347</v>
      </c>
      <c r="G118" t="s">
        <v>348</v>
      </c>
      <c r="H118" s="1">
        <v>15000</v>
      </c>
      <c r="I118" t="s">
        <v>292</v>
      </c>
      <c r="J118" t="s">
        <v>120</v>
      </c>
      <c r="L118" t="s">
        <v>114</v>
      </c>
      <c r="M118" s="1">
        <v>15000</v>
      </c>
      <c r="N118" s="1">
        <v>0</v>
      </c>
      <c r="O118" t="s">
        <v>121</v>
      </c>
      <c r="P118" t="s">
        <v>26</v>
      </c>
    </row>
    <row r="119" spans="1:16" x14ac:dyDescent="0.2">
      <c r="A119" t="s">
        <v>114</v>
      </c>
      <c r="B119" t="s">
        <v>115</v>
      </c>
      <c r="C119" t="s">
        <v>349</v>
      </c>
      <c r="D119" t="s">
        <v>350</v>
      </c>
      <c r="E119" t="s">
        <v>311</v>
      </c>
      <c r="F119" t="s">
        <v>347</v>
      </c>
      <c r="G119" t="s">
        <v>348</v>
      </c>
      <c r="H119" s="1">
        <v>15000</v>
      </c>
      <c r="I119" t="s">
        <v>292</v>
      </c>
      <c r="J119" t="s">
        <v>120</v>
      </c>
      <c r="L119" t="s">
        <v>114</v>
      </c>
      <c r="M119" s="1">
        <v>15000</v>
      </c>
      <c r="N119" s="1">
        <v>0</v>
      </c>
      <c r="O119" t="s">
        <v>121</v>
      </c>
      <c r="P119" t="s">
        <v>26</v>
      </c>
    </row>
    <row r="120" spans="1:16" x14ac:dyDescent="0.2">
      <c r="A120" t="s">
        <v>114</v>
      </c>
      <c r="B120" t="s">
        <v>115</v>
      </c>
      <c r="C120" t="s">
        <v>201</v>
      </c>
      <c r="D120" t="s">
        <v>351</v>
      </c>
      <c r="E120" t="s">
        <v>203</v>
      </c>
      <c r="F120" t="s">
        <v>312</v>
      </c>
      <c r="G120" t="s">
        <v>313</v>
      </c>
      <c r="H120" s="1">
        <v>15000</v>
      </c>
      <c r="I120" t="s">
        <v>327</v>
      </c>
      <c r="J120" t="s">
        <v>120</v>
      </c>
      <c r="L120" t="s">
        <v>114</v>
      </c>
      <c r="M120" s="1">
        <v>15000</v>
      </c>
      <c r="N120" s="1">
        <v>0</v>
      </c>
      <c r="O120" t="s">
        <v>121</v>
      </c>
      <c r="P120" t="s">
        <v>26</v>
      </c>
    </row>
    <row r="121" spans="1:16" x14ac:dyDescent="0.2">
      <c r="A121" t="s">
        <v>114</v>
      </c>
      <c r="B121" t="s">
        <v>115</v>
      </c>
      <c r="C121" t="s">
        <v>201</v>
      </c>
      <c r="D121" t="s">
        <v>352</v>
      </c>
      <c r="E121" t="s">
        <v>203</v>
      </c>
      <c r="F121" t="s">
        <v>290</v>
      </c>
      <c r="G121" t="s">
        <v>291</v>
      </c>
      <c r="H121" s="1">
        <v>15000</v>
      </c>
      <c r="I121" t="s">
        <v>327</v>
      </c>
      <c r="J121" t="s">
        <v>120</v>
      </c>
      <c r="L121" t="s">
        <v>114</v>
      </c>
      <c r="M121" s="1">
        <v>15000</v>
      </c>
      <c r="N121" s="1">
        <v>0</v>
      </c>
      <c r="O121" t="s">
        <v>121</v>
      </c>
      <c r="P121" t="s">
        <v>26</v>
      </c>
    </row>
    <row r="122" spans="1:16" x14ac:dyDescent="0.2">
      <c r="A122" t="s">
        <v>114</v>
      </c>
      <c r="B122" t="s">
        <v>115</v>
      </c>
      <c r="C122" t="s">
        <v>201</v>
      </c>
      <c r="D122" t="s">
        <v>353</v>
      </c>
      <c r="E122" t="s">
        <v>203</v>
      </c>
      <c r="F122" t="s">
        <v>117</v>
      </c>
      <c r="G122" t="s">
        <v>118</v>
      </c>
      <c r="H122" s="1">
        <v>15000</v>
      </c>
      <c r="I122" t="s">
        <v>327</v>
      </c>
      <c r="J122" t="s">
        <v>120</v>
      </c>
      <c r="L122" t="s">
        <v>114</v>
      </c>
      <c r="M122" s="1">
        <v>15000</v>
      </c>
      <c r="N122" s="1">
        <v>0</v>
      </c>
      <c r="O122" t="s">
        <v>121</v>
      </c>
      <c r="P122" t="s">
        <v>26</v>
      </c>
    </row>
    <row r="123" spans="1:16" x14ac:dyDescent="0.2">
      <c r="A123" t="s">
        <v>114</v>
      </c>
      <c r="B123" t="s">
        <v>115</v>
      </c>
      <c r="C123" t="s">
        <v>354</v>
      </c>
      <c r="D123" t="s">
        <v>355</v>
      </c>
      <c r="H123" s="1">
        <v>15000</v>
      </c>
      <c r="M123" s="1">
        <v>15000</v>
      </c>
      <c r="N123" s="1">
        <v>0</v>
      </c>
      <c r="O123" t="s">
        <v>121</v>
      </c>
      <c r="P123" t="s">
        <v>26</v>
      </c>
    </row>
    <row r="124" spans="1:16" x14ac:dyDescent="0.2">
      <c r="A124" t="s">
        <v>27</v>
      </c>
      <c r="B124" t="s">
        <v>28</v>
      </c>
      <c r="C124" t="s">
        <v>356</v>
      </c>
      <c r="D124">
        <v>236468</v>
      </c>
      <c r="E124" t="s">
        <v>256</v>
      </c>
      <c r="F124" t="s">
        <v>218</v>
      </c>
      <c r="G124" t="s">
        <v>219</v>
      </c>
      <c r="H124" s="1">
        <v>14000</v>
      </c>
      <c r="I124" t="s">
        <v>327</v>
      </c>
      <c r="J124" t="s">
        <v>83</v>
      </c>
      <c r="L124" t="s">
        <v>27</v>
      </c>
      <c r="M124" s="1">
        <v>14000</v>
      </c>
      <c r="N124" s="1">
        <v>0</v>
      </c>
      <c r="O124" t="s">
        <v>36</v>
      </c>
      <c r="P124" t="s">
        <v>26</v>
      </c>
    </row>
    <row r="125" spans="1:16" x14ac:dyDescent="0.2">
      <c r="A125" t="s">
        <v>27</v>
      </c>
      <c r="B125" t="s">
        <v>28</v>
      </c>
      <c r="C125" t="s">
        <v>357</v>
      </c>
      <c r="D125" t="s">
        <v>358</v>
      </c>
      <c r="E125" t="s">
        <v>96</v>
      </c>
      <c r="F125" t="s">
        <v>218</v>
      </c>
      <c r="G125" t="s">
        <v>219</v>
      </c>
      <c r="H125" s="1">
        <v>6000</v>
      </c>
      <c r="I125" t="s">
        <v>359</v>
      </c>
      <c r="J125" t="s">
        <v>83</v>
      </c>
      <c r="L125" t="s">
        <v>27</v>
      </c>
      <c r="M125" s="1">
        <v>6000</v>
      </c>
      <c r="N125" s="1">
        <v>0</v>
      </c>
      <c r="O125" t="s">
        <v>36</v>
      </c>
      <c r="P125" t="s">
        <v>26</v>
      </c>
    </row>
    <row r="126" spans="1:16" x14ac:dyDescent="0.2">
      <c r="A126" t="s">
        <v>141</v>
      </c>
      <c r="B126" t="s">
        <v>244</v>
      </c>
      <c r="C126" t="s">
        <v>360</v>
      </c>
      <c r="D126" t="s">
        <v>361</v>
      </c>
      <c r="E126" t="s">
        <v>38</v>
      </c>
      <c r="F126" t="s">
        <v>246</v>
      </c>
      <c r="G126" t="s">
        <v>244</v>
      </c>
      <c r="H126" s="1">
        <v>107819</v>
      </c>
      <c r="I126" t="s">
        <v>362</v>
      </c>
      <c r="J126" t="s">
        <v>148</v>
      </c>
      <c r="L126" t="s">
        <v>141</v>
      </c>
      <c r="M126" s="1">
        <v>5283.78</v>
      </c>
      <c r="N126" s="1">
        <v>0</v>
      </c>
      <c r="O126" t="s">
        <v>113</v>
      </c>
      <c r="P126" t="s">
        <v>26</v>
      </c>
    </row>
    <row r="127" spans="1:16" x14ac:dyDescent="0.2">
      <c r="A127" t="s">
        <v>141</v>
      </c>
      <c r="B127" t="s">
        <v>244</v>
      </c>
      <c r="C127" t="s">
        <v>363</v>
      </c>
      <c r="D127" t="s">
        <v>364</v>
      </c>
      <c r="E127" t="s">
        <v>31</v>
      </c>
      <c r="F127" t="s">
        <v>246</v>
      </c>
      <c r="G127" t="s">
        <v>244</v>
      </c>
      <c r="H127" s="1">
        <v>5203</v>
      </c>
      <c r="I127" t="s">
        <v>365</v>
      </c>
      <c r="J127" t="s">
        <v>148</v>
      </c>
      <c r="L127" t="s">
        <v>141</v>
      </c>
      <c r="M127" s="1">
        <v>5203</v>
      </c>
      <c r="N127" s="1">
        <v>0</v>
      </c>
      <c r="O127" t="s">
        <v>113</v>
      </c>
      <c r="P127" t="s">
        <v>26</v>
      </c>
    </row>
    <row r="128" spans="1:16" x14ac:dyDescent="0.2">
      <c r="A128" t="s">
        <v>366</v>
      </c>
      <c r="B128" t="s">
        <v>367</v>
      </c>
      <c r="C128" t="s">
        <v>154</v>
      </c>
      <c r="D128" t="s">
        <v>368</v>
      </c>
      <c r="E128" t="s">
        <v>128</v>
      </c>
      <c r="F128" t="s">
        <v>369</v>
      </c>
      <c r="G128" t="s">
        <v>370</v>
      </c>
      <c r="H128" s="1">
        <v>22915.5</v>
      </c>
      <c r="I128" t="s">
        <v>371</v>
      </c>
      <c r="J128" t="s">
        <v>372</v>
      </c>
      <c r="L128" t="s">
        <v>366</v>
      </c>
      <c r="M128" s="1">
        <v>4080</v>
      </c>
      <c r="N128" s="1">
        <v>0</v>
      </c>
      <c r="O128" t="s">
        <v>36</v>
      </c>
      <c r="P128" t="s">
        <v>26</v>
      </c>
    </row>
    <row r="129" spans="1:16" x14ac:dyDescent="0.2">
      <c r="A129" t="s">
        <v>110</v>
      </c>
      <c r="B129" t="s">
        <v>111</v>
      </c>
      <c r="C129" t="s">
        <v>373</v>
      </c>
      <c r="D129">
        <v>394427</v>
      </c>
      <c r="E129" t="s">
        <v>38</v>
      </c>
      <c r="F129" t="s">
        <v>241</v>
      </c>
      <c r="G129" t="s">
        <v>242</v>
      </c>
      <c r="H129" s="1">
        <v>8967</v>
      </c>
      <c r="I129" t="s">
        <v>374</v>
      </c>
      <c r="J129" t="s">
        <v>148</v>
      </c>
      <c r="L129" t="s">
        <v>110</v>
      </c>
      <c r="M129" s="1">
        <v>3880</v>
      </c>
      <c r="N129" s="1">
        <v>0</v>
      </c>
      <c r="O129" t="s">
        <v>113</v>
      </c>
      <c r="P129" t="s">
        <v>26</v>
      </c>
    </row>
    <row r="130" spans="1:16" x14ac:dyDescent="0.2">
      <c r="A130" t="s">
        <v>141</v>
      </c>
      <c r="B130" t="s">
        <v>142</v>
      </c>
      <c r="C130" t="s">
        <v>360</v>
      </c>
      <c r="D130" t="s">
        <v>375</v>
      </c>
      <c r="E130" t="s">
        <v>38</v>
      </c>
      <c r="F130" t="s">
        <v>145</v>
      </c>
      <c r="G130" t="s">
        <v>146</v>
      </c>
      <c r="H130" s="1">
        <v>101033</v>
      </c>
      <c r="I130" t="s">
        <v>376</v>
      </c>
      <c r="J130" t="s">
        <v>148</v>
      </c>
      <c r="L130" t="s">
        <v>141</v>
      </c>
      <c r="M130" s="1">
        <v>3656.85</v>
      </c>
      <c r="N130" s="1">
        <v>0</v>
      </c>
      <c r="O130" t="s">
        <v>113</v>
      </c>
      <c r="P130" t="s">
        <v>26</v>
      </c>
    </row>
    <row r="131" spans="1:16" x14ac:dyDescent="0.2">
      <c r="A131" t="s">
        <v>141</v>
      </c>
      <c r="B131" t="s">
        <v>244</v>
      </c>
      <c r="C131" t="s">
        <v>377</v>
      </c>
      <c r="D131" t="s">
        <v>378</v>
      </c>
      <c r="E131" t="s">
        <v>31</v>
      </c>
      <c r="F131" t="s">
        <v>246</v>
      </c>
      <c r="G131" t="s">
        <v>244</v>
      </c>
      <c r="H131" s="1">
        <v>3124</v>
      </c>
      <c r="I131" t="s">
        <v>365</v>
      </c>
      <c r="J131" t="s">
        <v>148</v>
      </c>
      <c r="L131" t="s">
        <v>141</v>
      </c>
      <c r="M131" s="1">
        <v>3124</v>
      </c>
      <c r="N131" s="1">
        <v>0</v>
      </c>
      <c r="O131" t="s">
        <v>113</v>
      </c>
      <c r="P131" t="s">
        <v>26</v>
      </c>
    </row>
    <row r="132" spans="1:16" x14ac:dyDescent="0.2">
      <c r="A132" t="s">
        <v>50</v>
      </c>
      <c r="B132" t="s">
        <v>379</v>
      </c>
      <c r="C132" t="s">
        <v>380</v>
      </c>
      <c r="D132">
        <v>53700007685</v>
      </c>
      <c r="E132" t="s">
        <v>192</v>
      </c>
      <c r="F132" t="s">
        <v>20</v>
      </c>
      <c r="G132" t="s">
        <v>21</v>
      </c>
      <c r="H132" s="1">
        <v>9.75</v>
      </c>
      <c r="I132" t="s">
        <v>381</v>
      </c>
      <c r="J132" t="s">
        <v>23</v>
      </c>
      <c r="L132" t="s">
        <v>24</v>
      </c>
      <c r="M132" s="1">
        <v>1610</v>
      </c>
      <c r="N132" s="1">
        <v>0</v>
      </c>
      <c r="O132" t="s">
        <v>382</v>
      </c>
      <c r="P132" t="s">
        <v>26</v>
      </c>
    </row>
    <row r="133" spans="1:16" x14ac:dyDescent="0.2">
      <c r="A133" t="s">
        <v>141</v>
      </c>
      <c r="B133" t="s">
        <v>142</v>
      </c>
      <c r="C133" t="s">
        <v>383</v>
      </c>
      <c r="D133" t="s">
        <v>384</v>
      </c>
      <c r="E133" t="s">
        <v>38</v>
      </c>
      <c r="F133" t="s">
        <v>145</v>
      </c>
      <c r="G133" t="s">
        <v>146</v>
      </c>
      <c r="H133" s="1">
        <v>32700</v>
      </c>
      <c r="I133" t="s">
        <v>385</v>
      </c>
      <c r="J133" t="s">
        <v>148</v>
      </c>
      <c r="L133" t="s">
        <v>141</v>
      </c>
      <c r="M133" s="1">
        <v>1090</v>
      </c>
      <c r="N133" s="1">
        <v>0</v>
      </c>
      <c r="O133" t="s">
        <v>113</v>
      </c>
      <c r="P133" t="s">
        <v>26</v>
      </c>
    </row>
    <row r="134" spans="1:16" x14ac:dyDescent="0.2">
      <c r="A134" t="s">
        <v>50</v>
      </c>
      <c r="B134" t="s">
        <v>51</v>
      </c>
      <c r="C134" t="s">
        <v>386</v>
      </c>
      <c r="D134">
        <v>53700008043</v>
      </c>
      <c r="E134" t="s">
        <v>44</v>
      </c>
      <c r="F134" t="s">
        <v>20</v>
      </c>
      <c r="G134" t="s">
        <v>21</v>
      </c>
      <c r="H134" s="1">
        <v>-951.64</v>
      </c>
      <c r="I134" t="s">
        <v>387</v>
      </c>
      <c r="J134" t="s">
        <v>23</v>
      </c>
      <c r="L134" t="s">
        <v>24</v>
      </c>
      <c r="M134" s="1">
        <v>1000</v>
      </c>
      <c r="N134" s="1">
        <v>-50000</v>
      </c>
      <c r="O134" t="s">
        <v>57</v>
      </c>
      <c r="P134" t="s">
        <v>26</v>
      </c>
    </row>
    <row r="135" spans="1:16" x14ac:dyDescent="0.2">
      <c r="A135" t="s">
        <v>50</v>
      </c>
      <c r="B135" t="s">
        <v>379</v>
      </c>
      <c r="C135" t="s">
        <v>388</v>
      </c>
      <c r="D135">
        <v>53700014254</v>
      </c>
      <c r="E135" t="s">
        <v>31</v>
      </c>
      <c r="F135" t="s">
        <v>20</v>
      </c>
      <c r="G135" t="s">
        <v>21</v>
      </c>
      <c r="H135" s="1">
        <v>44.91</v>
      </c>
      <c r="I135" t="s">
        <v>389</v>
      </c>
      <c r="J135" t="s">
        <v>23</v>
      </c>
      <c r="L135" t="s">
        <v>24</v>
      </c>
      <c r="M135" s="1">
        <v>659.01</v>
      </c>
      <c r="N135" s="1">
        <v>0</v>
      </c>
      <c r="O135" t="s">
        <v>382</v>
      </c>
      <c r="P135" t="s">
        <v>26</v>
      </c>
    </row>
    <row r="136" spans="1:16" x14ac:dyDescent="0.2">
      <c r="A136" t="s">
        <v>110</v>
      </c>
      <c r="B136" t="s">
        <v>111</v>
      </c>
      <c r="C136" t="s">
        <v>383</v>
      </c>
      <c r="D136">
        <v>397351</v>
      </c>
      <c r="E136" t="s">
        <v>38</v>
      </c>
      <c r="F136" t="s">
        <v>241</v>
      </c>
      <c r="G136" t="s">
        <v>242</v>
      </c>
      <c r="H136" s="1">
        <v>29591.1</v>
      </c>
      <c r="I136" t="s">
        <v>390</v>
      </c>
      <c r="J136" t="s">
        <v>148</v>
      </c>
      <c r="L136" t="s">
        <v>110</v>
      </c>
      <c r="M136" s="1">
        <v>392</v>
      </c>
      <c r="N136" s="1">
        <v>0</v>
      </c>
      <c r="O136" t="s">
        <v>113</v>
      </c>
      <c r="P136" t="s">
        <v>26</v>
      </c>
    </row>
    <row r="137" spans="1:16" x14ac:dyDescent="0.2">
      <c r="A137" t="s">
        <v>50</v>
      </c>
      <c r="B137" t="s">
        <v>379</v>
      </c>
      <c r="C137" t="s">
        <v>391</v>
      </c>
      <c r="D137">
        <v>53700012048</v>
      </c>
      <c r="E137" t="s">
        <v>38</v>
      </c>
      <c r="F137" t="s">
        <v>20</v>
      </c>
      <c r="G137" t="s">
        <v>21</v>
      </c>
      <c r="H137" s="1">
        <v>1004.34</v>
      </c>
      <c r="I137" t="s">
        <v>392</v>
      </c>
      <c r="J137" t="s">
        <v>23</v>
      </c>
      <c r="L137" t="s">
        <v>24</v>
      </c>
      <c r="M137" s="1">
        <v>330</v>
      </c>
      <c r="N137" s="1">
        <v>0</v>
      </c>
      <c r="O137" t="s">
        <v>382</v>
      </c>
      <c r="P137" t="s">
        <v>26</v>
      </c>
    </row>
    <row r="138" spans="1:16" x14ac:dyDescent="0.2">
      <c r="A138" t="s">
        <v>393</v>
      </c>
      <c r="B138" t="s">
        <v>394</v>
      </c>
      <c r="C138" t="s">
        <v>395</v>
      </c>
      <c r="D138" t="s">
        <v>396</v>
      </c>
      <c r="H138" s="1"/>
      <c r="M138" s="1">
        <v>300</v>
      </c>
      <c r="N138" s="1">
        <v>0</v>
      </c>
      <c r="O138" t="s">
        <v>301</v>
      </c>
      <c r="P138" t="s">
        <v>26</v>
      </c>
    </row>
    <row r="139" spans="1:16" x14ac:dyDescent="0.2">
      <c r="A139" t="s">
        <v>393</v>
      </c>
      <c r="B139" t="s">
        <v>394</v>
      </c>
      <c r="C139" t="s">
        <v>397</v>
      </c>
      <c r="D139" t="s">
        <v>398</v>
      </c>
      <c r="H139" s="1"/>
      <c r="M139" s="1">
        <v>300</v>
      </c>
      <c r="N139" s="1">
        <v>0</v>
      </c>
      <c r="O139" t="s">
        <v>301</v>
      </c>
      <c r="P139" t="s">
        <v>26</v>
      </c>
    </row>
    <row r="140" spans="1:16" x14ac:dyDescent="0.2">
      <c r="A140" t="s">
        <v>393</v>
      </c>
      <c r="B140" t="s">
        <v>394</v>
      </c>
      <c r="C140" t="s">
        <v>399</v>
      </c>
      <c r="D140">
        <v>25012</v>
      </c>
      <c r="H140" s="1"/>
      <c r="M140" s="1">
        <v>300</v>
      </c>
      <c r="N140" s="1">
        <v>0</v>
      </c>
      <c r="O140" t="s">
        <v>301</v>
      </c>
      <c r="P140" t="s">
        <v>26</v>
      </c>
    </row>
    <row r="141" spans="1:16" x14ac:dyDescent="0.2">
      <c r="A141" t="s">
        <v>50</v>
      </c>
      <c r="B141" t="s">
        <v>379</v>
      </c>
      <c r="C141" t="s">
        <v>400</v>
      </c>
      <c r="D141">
        <v>53700007902</v>
      </c>
      <c r="E141" t="s">
        <v>38</v>
      </c>
      <c r="F141" t="s">
        <v>20</v>
      </c>
      <c r="G141" t="s">
        <v>21</v>
      </c>
      <c r="H141" s="1">
        <v>64.349999999999994</v>
      </c>
      <c r="I141" t="s">
        <v>401</v>
      </c>
      <c r="J141" t="s">
        <v>23</v>
      </c>
      <c r="L141" t="s">
        <v>24</v>
      </c>
      <c r="M141" s="1">
        <v>250</v>
      </c>
      <c r="N141" s="1">
        <v>0</v>
      </c>
      <c r="O141" t="s">
        <v>382</v>
      </c>
      <c r="P141" t="s">
        <v>26</v>
      </c>
    </row>
    <row r="142" spans="1:16" x14ac:dyDescent="0.2">
      <c r="A142" t="s">
        <v>50</v>
      </c>
      <c r="B142" t="s">
        <v>379</v>
      </c>
      <c r="C142" t="s">
        <v>402</v>
      </c>
      <c r="D142">
        <v>53700007884</v>
      </c>
      <c r="E142" t="s">
        <v>38</v>
      </c>
      <c r="F142" t="s">
        <v>403</v>
      </c>
      <c r="G142" t="s">
        <v>404</v>
      </c>
      <c r="H142" s="1">
        <v>33911.199999999997</v>
      </c>
      <c r="I142" t="s">
        <v>405</v>
      </c>
      <c r="J142" t="s">
        <v>56</v>
      </c>
      <c r="L142" t="s">
        <v>40</v>
      </c>
      <c r="M142" s="1">
        <v>189</v>
      </c>
      <c r="N142" s="1">
        <v>0</v>
      </c>
      <c r="O142" t="s">
        <v>382</v>
      </c>
      <c r="P142" t="s">
        <v>26</v>
      </c>
    </row>
    <row r="143" spans="1:16" x14ac:dyDescent="0.2">
      <c r="A143" t="s">
        <v>50</v>
      </c>
      <c r="B143" t="s">
        <v>51</v>
      </c>
      <c r="C143" t="s">
        <v>406</v>
      </c>
      <c r="D143">
        <v>53700007764</v>
      </c>
      <c r="E143" t="s">
        <v>71</v>
      </c>
      <c r="F143" t="s">
        <v>20</v>
      </c>
      <c r="G143" t="s">
        <v>21</v>
      </c>
      <c r="H143" s="1">
        <v>8.75</v>
      </c>
      <c r="I143" t="s">
        <v>407</v>
      </c>
      <c r="J143" t="s">
        <v>23</v>
      </c>
      <c r="L143" t="s">
        <v>24</v>
      </c>
      <c r="M143" s="1">
        <v>150</v>
      </c>
      <c r="N143" s="1">
        <v>0</v>
      </c>
      <c r="O143" t="s">
        <v>57</v>
      </c>
      <c r="P143" t="s">
        <v>26</v>
      </c>
    </row>
    <row r="144" spans="1:16" x14ac:dyDescent="0.2">
      <c r="A144" t="s">
        <v>50</v>
      </c>
      <c r="B144" t="s">
        <v>379</v>
      </c>
      <c r="C144" t="s">
        <v>408</v>
      </c>
      <c r="D144">
        <v>53700013267</v>
      </c>
      <c r="E144" t="s">
        <v>38</v>
      </c>
      <c r="F144" t="s">
        <v>20</v>
      </c>
      <c r="G144" t="s">
        <v>21</v>
      </c>
      <c r="H144" s="1">
        <v>12.22</v>
      </c>
      <c r="I144" t="s">
        <v>409</v>
      </c>
      <c r="J144" t="s">
        <v>23</v>
      </c>
      <c r="L144" t="s">
        <v>24</v>
      </c>
      <c r="M144" s="1">
        <v>150</v>
      </c>
      <c r="N144" s="1">
        <v>0</v>
      </c>
      <c r="O144" t="s">
        <v>382</v>
      </c>
      <c r="P144" t="s">
        <v>26</v>
      </c>
    </row>
    <row r="145" spans="1:16" x14ac:dyDescent="0.2">
      <c r="A145" t="s">
        <v>50</v>
      </c>
      <c r="B145" t="s">
        <v>379</v>
      </c>
      <c r="C145" t="s">
        <v>410</v>
      </c>
      <c r="D145">
        <v>53700007901</v>
      </c>
      <c r="E145" t="s">
        <v>38</v>
      </c>
      <c r="F145" t="s">
        <v>20</v>
      </c>
      <c r="G145" t="s">
        <v>21</v>
      </c>
      <c r="H145" s="1">
        <v>14.77</v>
      </c>
      <c r="I145" t="s">
        <v>411</v>
      </c>
      <c r="J145" t="s">
        <v>23</v>
      </c>
      <c r="L145" t="s">
        <v>24</v>
      </c>
      <c r="M145" s="1">
        <v>150</v>
      </c>
      <c r="N145" s="1">
        <v>0</v>
      </c>
      <c r="O145" t="s">
        <v>382</v>
      </c>
      <c r="P145" t="s">
        <v>26</v>
      </c>
    </row>
    <row r="146" spans="1:16" x14ac:dyDescent="0.2">
      <c r="A146" t="s">
        <v>50</v>
      </c>
      <c r="B146" t="s">
        <v>379</v>
      </c>
      <c r="C146" t="s">
        <v>412</v>
      </c>
      <c r="D146">
        <v>53700012744</v>
      </c>
      <c r="E146" t="s">
        <v>19</v>
      </c>
      <c r="F146" t="s">
        <v>20</v>
      </c>
      <c r="G146" t="s">
        <v>21</v>
      </c>
      <c r="H146" s="1">
        <v>-112.17</v>
      </c>
      <c r="I146" t="s">
        <v>413</v>
      </c>
      <c r="J146" t="s">
        <v>23</v>
      </c>
      <c r="L146" t="s">
        <v>24</v>
      </c>
      <c r="M146" s="1">
        <v>100</v>
      </c>
      <c r="N146" s="1">
        <v>0</v>
      </c>
      <c r="O146" t="s">
        <v>382</v>
      </c>
      <c r="P146" t="s">
        <v>26</v>
      </c>
    </row>
    <row r="147" spans="1:16" x14ac:dyDescent="0.2">
      <c r="A147" t="s">
        <v>16</v>
      </c>
      <c r="B147" t="s">
        <v>58</v>
      </c>
      <c r="C147" t="s">
        <v>414</v>
      </c>
      <c r="D147">
        <v>314190501</v>
      </c>
      <c r="H147" s="1"/>
      <c r="M147" s="1">
        <v>0</v>
      </c>
      <c r="N147" s="1">
        <v>-36323</v>
      </c>
      <c r="O147" t="s">
        <v>57</v>
      </c>
      <c r="P147" t="s">
        <v>26</v>
      </c>
    </row>
    <row r="148" spans="1:16" x14ac:dyDescent="0.2">
      <c r="A148" t="s">
        <v>415</v>
      </c>
      <c r="B148" t="s">
        <v>416</v>
      </c>
      <c r="C148" t="s">
        <v>417</v>
      </c>
      <c r="D148" t="s">
        <v>418</v>
      </c>
      <c r="E148" t="s">
        <v>38</v>
      </c>
      <c r="F148" t="s">
        <v>419</v>
      </c>
      <c r="G148" t="s">
        <v>420</v>
      </c>
      <c r="H148" s="1">
        <v>3144</v>
      </c>
      <c r="I148" t="s">
        <v>421</v>
      </c>
      <c r="J148" t="s">
        <v>422</v>
      </c>
      <c r="L148" t="s">
        <v>415</v>
      </c>
      <c r="M148" s="1">
        <v>0</v>
      </c>
      <c r="N148" s="1">
        <v>0</v>
      </c>
      <c r="O148" t="s">
        <v>36</v>
      </c>
      <c r="P148" t="s">
        <v>26</v>
      </c>
    </row>
    <row r="149" spans="1:16" x14ac:dyDescent="0.2">
      <c r="A149" t="s">
        <v>415</v>
      </c>
      <c r="B149" t="s">
        <v>423</v>
      </c>
      <c r="C149" t="s">
        <v>424</v>
      </c>
      <c r="D149" t="s">
        <v>425</v>
      </c>
      <c r="E149" t="s">
        <v>192</v>
      </c>
      <c r="F149" t="s">
        <v>426</v>
      </c>
      <c r="G149" t="s">
        <v>427</v>
      </c>
      <c r="H149" s="1">
        <v>14460.8</v>
      </c>
      <c r="I149" t="s">
        <v>428</v>
      </c>
      <c r="J149" t="s">
        <v>422</v>
      </c>
      <c r="L149" t="s">
        <v>415</v>
      </c>
      <c r="M149" s="1">
        <v>0</v>
      </c>
      <c r="N149" s="1">
        <v>0</v>
      </c>
      <c r="O149" t="s">
        <v>36</v>
      </c>
      <c r="P149" t="s">
        <v>26</v>
      </c>
    </row>
    <row r="150" spans="1:16" x14ac:dyDescent="0.2">
      <c r="A150" t="s">
        <v>415</v>
      </c>
      <c r="B150" t="s">
        <v>423</v>
      </c>
      <c r="C150" t="s">
        <v>429</v>
      </c>
      <c r="D150" t="s">
        <v>430</v>
      </c>
      <c r="E150" t="s">
        <v>71</v>
      </c>
      <c r="F150" t="s">
        <v>426</v>
      </c>
      <c r="G150" t="s">
        <v>427</v>
      </c>
      <c r="H150" s="1">
        <v>19946</v>
      </c>
      <c r="I150" t="s">
        <v>431</v>
      </c>
      <c r="J150" t="s">
        <v>422</v>
      </c>
      <c r="L150" t="s">
        <v>415</v>
      </c>
      <c r="M150" s="1">
        <v>0</v>
      </c>
      <c r="N150" s="1">
        <v>0</v>
      </c>
      <c r="O150" t="s">
        <v>36</v>
      </c>
      <c r="P150" t="s">
        <v>26</v>
      </c>
    </row>
    <row r="151" spans="1:16" x14ac:dyDescent="0.2">
      <c r="A151" t="s">
        <v>415</v>
      </c>
      <c r="B151" t="s">
        <v>423</v>
      </c>
      <c r="C151" t="s">
        <v>432</v>
      </c>
      <c r="D151" t="s">
        <v>433</v>
      </c>
      <c r="E151" t="s">
        <v>71</v>
      </c>
      <c r="F151" t="s">
        <v>434</v>
      </c>
      <c r="G151" t="s">
        <v>435</v>
      </c>
      <c r="H151" s="1">
        <v>13462.5</v>
      </c>
      <c r="I151" t="s">
        <v>436</v>
      </c>
      <c r="J151" t="s">
        <v>372</v>
      </c>
      <c r="L151" t="s">
        <v>415</v>
      </c>
      <c r="M151" s="1">
        <v>0</v>
      </c>
      <c r="N151" s="1">
        <v>0</v>
      </c>
      <c r="O151" t="s">
        <v>36</v>
      </c>
      <c r="P151" t="s">
        <v>26</v>
      </c>
    </row>
    <row r="152" spans="1:16" x14ac:dyDescent="0.2">
      <c r="A152" t="s">
        <v>415</v>
      </c>
      <c r="B152" t="s">
        <v>423</v>
      </c>
      <c r="C152" t="s">
        <v>437</v>
      </c>
      <c r="D152" t="s">
        <v>438</v>
      </c>
      <c r="E152" t="s">
        <v>71</v>
      </c>
      <c r="F152" t="s">
        <v>439</v>
      </c>
      <c r="G152" t="s">
        <v>440</v>
      </c>
      <c r="H152" s="1">
        <v>36421.199999999997</v>
      </c>
      <c r="I152" t="s">
        <v>441</v>
      </c>
      <c r="J152" t="s">
        <v>422</v>
      </c>
      <c r="L152" t="s">
        <v>415</v>
      </c>
      <c r="M152" s="1">
        <v>0</v>
      </c>
      <c r="N152" s="1">
        <v>0</v>
      </c>
      <c r="O152" t="s">
        <v>36</v>
      </c>
      <c r="P152" t="s">
        <v>26</v>
      </c>
    </row>
    <row r="153" spans="1:16" x14ac:dyDescent="0.2">
      <c r="A153" t="s">
        <v>415</v>
      </c>
      <c r="B153" t="s">
        <v>423</v>
      </c>
      <c r="C153" t="s">
        <v>442</v>
      </c>
      <c r="D153" t="s">
        <v>443</v>
      </c>
      <c r="E153" t="s">
        <v>71</v>
      </c>
      <c r="F153" t="s">
        <v>444</v>
      </c>
      <c r="G153" t="s">
        <v>445</v>
      </c>
      <c r="H153" s="1">
        <v>41329.9</v>
      </c>
      <c r="I153" t="s">
        <v>446</v>
      </c>
      <c r="J153" t="s">
        <v>372</v>
      </c>
      <c r="L153" t="s">
        <v>415</v>
      </c>
      <c r="M153" s="1">
        <v>0</v>
      </c>
      <c r="N153" s="1">
        <v>0</v>
      </c>
      <c r="O153" t="s">
        <v>36</v>
      </c>
      <c r="P153" t="s">
        <v>26</v>
      </c>
    </row>
    <row r="154" spans="1:16" x14ac:dyDescent="0.2">
      <c r="A154" t="s">
        <v>415</v>
      </c>
      <c r="B154" t="s">
        <v>423</v>
      </c>
      <c r="C154" t="s">
        <v>447</v>
      </c>
      <c r="D154" t="s">
        <v>448</v>
      </c>
      <c r="E154" t="s">
        <v>71</v>
      </c>
      <c r="F154" t="s">
        <v>434</v>
      </c>
      <c r="G154" t="s">
        <v>435</v>
      </c>
      <c r="H154" s="1">
        <v>29348.2</v>
      </c>
      <c r="I154" t="s">
        <v>449</v>
      </c>
      <c r="J154" t="s">
        <v>372</v>
      </c>
      <c r="L154" t="s">
        <v>415</v>
      </c>
      <c r="M154" s="1">
        <v>0</v>
      </c>
      <c r="N154" s="1">
        <v>0</v>
      </c>
      <c r="O154" t="s">
        <v>36</v>
      </c>
      <c r="P154" t="s">
        <v>26</v>
      </c>
    </row>
    <row r="155" spans="1:16" x14ac:dyDescent="0.2">
      <c r="A155" t="s">
        <v>1701</v>
      </c>
      <c r="B155" t="s">
        <v>450</v>
      </c>
      <c r="C155" t="s">
        <v>451</v>
      </c>
      <c r="D155">
        <v>57755200001</v>
      </c>
      <c r="E155" t="s">
        <v>71</v>
      </c>
      <c r="F155" t="s">
        <v>20</v>
      </c>
      <c r="G155" t="s">
        <v>21</v>
      </c>
      <c r="H155" s="1">
        <v>8.76</v>
      </c>
      <c r="I155" t="s">
        <v>452</v>
      </c>
      <c r="J155" t="s">
        <v>23</v>
      </c>
      <c r="L155" t="s">
        <v>24</v>
      </c>
      <c r="M155" s="1">
        <v>0</v>
      </c>
      <c r="N155" s="1">
        <v>0</v>
      </c>
      <c r="O155" t="s">
        <v>25</v>
      </c>
      <c r="P155" t="s">
        <v>26</v>
      </c>
    </row>
    <row r="156" spans="1:16" x14ac:dyDescent="0.2">
      <c r="A156" t="s">
        <v>453</v>
      </c>
      <c r="B156" t="s">
        <v>454</v>
      </c>
      <c r="C156" t="s">
        <v>455</v>
      </c>
      <c r="D156">
        <v>49223431507</v>
      </c>
      <c r="E156" t="s">
        <v>256</v>
      </c>
      <c r="F156" t="s">
        <v>456</v>
      </c>
      <c r="G156" t="s">
        <v>457</v>
      </c>
      <c r="H156" s="1">
        <v>9060.77</v>
      </c>
      <c r="I156" t="s">
        <v>458</v>
      </c>
      <c r="J156" t="s">
        <v>56</v>
      </c>
      <c r="L156" t="s">
        <v>40</v>
      </c>
      <c r="M156" s="1">
        <v>0</v>
      </c>
      <c r="N156" s="1">
        <v>0</v>
      </c>
      <c r="O156" t="s">
        <v>57</v>
      </c>
      <c r="P156" t="s">
        <v>26</v>
      </c>
    </row>
    <row r="157" spans="1:16" x14ac:dyDescent="0.2">
      <c r="A157" t="s">
        <v>50</v>
      </c>
      <c r="B157" t="s">
        <v>51</v>
      </c>
      <c r="C157" t="s">
        <v>424</v>
      </c>
      <c r="D157">
        <v>53700009795</v>
      </c>
      <c r="E157" t="s">
        <v>192</v>
      </c>
      <c r="F157" t="s">
        <v>20</v>
      </c>
      <c r="G157" t="s">
        <v>21</v>
      </c>
      <c r="H157" s="1">
        <v>7509.92</v>
      </c>
      <c r="I157" t="s">
        <v>459</v>
      </c>
      <c r="J157" t="s">
        <v>23</v>
      </c>
      <c r="L157" t="s">
        <v>24</v>
      </c>
      <c r="M157" s="1">
        <v>0</v>
      </c>
      <c r="N157" s="1">
        <v>-13000</v>
      </c>
      <c r="O157" t="s">
        <v>57</v>
      </c>
      <c r="P157" t="s">
        <v>26</v>
      </c>
    </row>
    <row r="158" spans="1:16" x14ac:dyDescent="0.2">
      <c r="A158" t="s">
        <v>50</v>
      </c>
      <c r="B158" t="s">
        <v>51</v>
      </c>
      <c r="C158" t="s">
        <v>460</v>
      </c>
      <c r="D158">
        <v>53700011600</v>
      </c>
      <c r="E158" t="s">
        <v>192</v>
      </c>
      <c r="F158" t="s">
        <v>20</v>
      </c>
      <c r="G158" t="s">
        <v>21</v>
      </c>
      <c r="H158" s="1">
        <v>21.75</v>
      </c>
      <c r="I158" t="s">
        <v>461</v>
      </c>
      <c r="J158" t="s">
        <v>23</v>
      </c>
      <c r="L158" t="s">
        <v>24</v>
      </c>
      <c r="M158" s="1">
        <v>0</v>
      </c>
      <c r="N158" s="1">
        <v>0</v>
      </c>
      <c r="O158" t="s">
        <v>57</v>
      </c>
      <c r="P158" t="s">
        <v>26</v>
      </c>
    </row>
    <row r="159" spans="1:16" x14ac:dyDescent="0.2">
      <c r="A159" t="s">
        <v>50</v>
      </c>
      <c r="B159" t="s">
        <v>51</v>
      </c>
      <c r="C159" t="s">
        <v>462</v>
      </c>
      <c r="D159">
        <v>53700011601</v>
      </c>
      <c r="E159" t="s">
        <v>192</v>
      </c>
      <c r="F159" t="s">
        <v>20</v>
      </c>
      <c r="G159" t="s">
        <v>21</v>
      </c>
      <c r="H159" s="1">
        <v>485.82</v>
      </c>
      <c r="I159" t="s">
        <v>461</v>
      </c>
      <c r="J159" t="s">
        <v>23</v>
      </c>
      <c r="L159" t="s">
        <v>24</v>
      </c>
      <c r="M159" s="1">
        <v>0</v>
      </c>
      <c r="N159" s="1">
        <v>0</v>
      </c>
      <c r="O159" t="s">
        <v>57</v>
      </c>
      <c r="P159" t="s">
        <v>26</v>
      </c>
    </row>
    <row r="160" spans="1:16" x14ac:dyDescent="0.2">
      <c r="A160" t="s">
        <v>50</v>
      </c>
      <c r="B160" t="s">
        <v>51</v>
      </c>
      <c r="C160" t="s">
        <v>463</v>
      </c>
      <c r="D160">
        <v>53700011602</v>
      </c>
      <c r="E160" t="s">
        <v>192</v>
      </c>
      <c r="F160" t="s">
        <v>20</v>
      </c>
      <c r="G160" t="s">
        <v>21</v>
      </c>
      <c r="H160" s="1">
        <v>2.5499999999999998</v>
      </c>
      <c r="I160" t="s">
        <v>461</v>
      </c>
      <c r="J160" t="s">
        <v>23</v>
      </c>
      <c r="L160" t="s">
        <v>24</v>
      </c>
      <c r="M160" s="1">
        <v>0</v>
      </c>
      <c r="N160" s="1">
        <v>0</v>
      </c>
      <c r="O160" t="s">
        <v>57</v>
      </c>
      <c r="P160" t="s">
        <v>26</v>
      </c>
    </row>
    <row r="161" spans="1:16" x14ac:dyDescent="0.2">
      <c r="A161" t="s">
        <v>50</v>
      </c>
      <c r="B161" t="s">
        <v>51</v>
      </c>
      <c r="C161" t="s">
        <v>380</v>
      </c>
      <c r="D161">
        <v>53700003900</v>
      </c>
      <c r="E161" t="s">
        <v>192</v>
      </c>
      <c r="F161" t="s">
        <v>20</v>
      </c>
      <c r="G161" t="s">
        <v>21</v>
      </c>
      <c r="H161" s="1">
        <v>23388.9</v>
      </c>
      <c r="I161" t="s">
        <v>464</v>
      </c>
      <c r="J161" t="s">
        <v>23</v>
      </c>
      <c r="L161" t="s">
        <v>24</v>
      </c>
      <c r="M161" s="1">
        <v>0</v>
      </c>
      <c r="N161" s="1">
        <v>0</v>
      </c>
      <c r="O161" t="s">
        <v>57</v>
      </c>
      <c r="P161" t="s">
        <v>26</v>
      </c>
    </row>
    <row r="162" spans="1:16" x14ac:dyDescent="0.2">
      <c r="A162" t="s">
        <v>50</v>
      </c>
      <c r="B162" t="s">
        <v>51</v>
      </c>
      <c r="C162" t="s">
        <v>465</v>
      </c>
      <c r="D162">
        <v>53700010360</v>
      </c>
      <c r="E162" t="s">
        <v>192</v>
      </c>
      <c r="F162" t="s">
        <v>20</v>
      </c>
      <c r="G162" t="s">
        <v>21</v>
      </c>
      <c r="H162" s="1">
        <v>1092.1500000000001</v>
      </c>
      <c r="I162" t="s">
        <v>466</v>
      </c>
      <c r="J162" t="s">
        <v>23</v>
      </c>
      <c r="L162" t="s">
        <v>24</v>
      </c>
      <c r="M162" s="1">
        <v>0</v>
      </c>
      <c r="N162" s="1">
        <v>0</v>
      </c>
      <c r="O162" t="s">
        <v>57</v>
      </c>
      <c r="P162" t="s">
        <v>26</v>
      </c>
    </row>
    <row r="163" spans="1:16" x14ac:dyDescent="0.2">
      <c r="A163" t="s">
        <v>50</v>
      </c>
      <c r="B163" t="s">
        <v>51</v>
      </c>
      <c r="C163" t="s">
        <v>467</v>
      </c>
      <c r="D163">
        <v>4791700001</v>
      </c>
      <c r="E163" t="s">
        <v>192</v>
      </c>
      <c r="F163" t="s">
        <v>20</v>
      </c>
      <c r="G163" t="s">
        <v>21</v>
      </c>
      <c r="H163" s="1">
        <v>85.2</v>
      </c>
      <c r="I163" t="s">
        <v>468</v>
      </c>
      <c r="J163" t="s">
        <v>23</v>
      </c>
      <c r="L163" t="s">
        <v>24</v>
      </c>
      <c r="M163" s="1">
        <v>0</v>
      </c>
      <c r="N163" s="1">
        <v>0</v>
      </c>
      <c r="O163" t="s">
        <v>57</v>
      </c>
      <c r="P163" t="s">
        <v>26</v>
      </c>
    </row>
    <row r="164" spans="1:16" x14ac:dyDescent="0.2">
      <c r="A164" t="s">
        <v>50</v>
      </c>
      <c r="B164" t="s">
        <v>51</v>
      </c>
      <c r="C164" t="s">
        <v>469</v>
      </c>
      <c r="D164">
        <v>53700012259</v>
      </c>
      <c r="E164" t="s">
        <v>67</v>
      </c>
      <c r="F164" t="s">
        <v>20</v>
      </c>
      <c r="G164" t="s">
        <v>21</v>
      </c>
      <c r="H164" s="1">
        <v>5059.2299999999996</v>
      </c>
      <c r="I164" t="s">
        <v>470</v>
      </c>
      <c r="J164" t="s">
        <v>23</v>
      </c>
      <c r="L164" t="s">
        <v>24</v>
      </c>
      <c r="M164" s="1">
        <v>0</v>
      </c>
      <c r="N164" s="1">
        <v>0</v>
      </c>
      <c r="O164" t="s">
        <v>57</v>
      </c>
      <c r="P164" t="s">
        <v>26</v>
      </c>
    </row>
    <row r="165" spans="1:16" x14ac:dyDescent="0.2">
      <c r="A165" t="s">
        <v>50</v>
      </c>
      <c r="B165" t="s">
        <v>51</v>
      </c>
      <c r="C165" t="s">
        <v>471</v>
      </c>
      <c r="D165">
        <v>53700007236</v>
      </c>
      <c r="E165" t="s">
        <v>38</v>
      </c>
      <c r="F165" t="s">
        <v>20</v>
      </c>
      <c r="G165" t="s">
        <v>21</v>
      </c>
      <c r="H165" s="1">
        <v>77.569999999999993</v>
      </c>
      <c r="I165" t="s">
        <v>472</v>
      </c>
      <c r="J165" t="s">
        <v>23</v>
      </c>
      <c r="L165" t="s">
        <v>24</v>
      </c>
      <c r="M165" s="1">
        <v>0</v>
      </c>
      <c r="N165" s="1">
        <v>-4500</v>
      </c>
      <c r="O165" t="s">
        <v>57</v>
      </c>
      <c r="P165" t="s">
        <v>26</v>
      </c>
    </row>
    <row r="166" spans="1:16" x14ac:dyDescent="0.2">
      <c r="A166" t="s">
        <v>50</v>
      </c>
      <c r="B166" t="s">
        <v>51</v>
      </c>
      <c r="C166" t="s">
        <v>473</v>
      </c>
      <c r="D166">
        <v>53700008214</v>
      </c>
      <c r="E166" t="s">
        <v>38</v>
      </c>
      <c r="F166" t="s">
        <v>20</v>
      </c>
      <c r="G166" t="s">
        <v>21</v>
      </c>
      <c r="H166" s="1">
        <v>3840.92</v>
      </c>
      <c r="I166" t="s">
        <v>474</v>
      </c>
      <c r="J166" t="s">
        <v>23</v>
      </c>
      <c r="L166" t="s">
        <v>24</v>
      </c>
      <c r="M166" s="1">
        <v>0</v>
      </c>
      <c r="N166" s="1">
        <v>0</v>
      </c>
      <c r="O166" t="s">
        <v>57</v>
      </c>
      <c r="P166" t="s">
        <v>26</v>
      </c>
    </row>
    <row r="167" spans="1:16" x14ac:dyDescent="0.2">
      <c r="A167" t="s">
        <v>50</v>
      </c>
      <c r="B167" t="s">
        <v>51</v>
      </c>
      <c r="C167" t="s">
        <v>475</v>
      </c>
      <c r="D167">
        <v>53700008077</v>
      </c>
      <c r="E167" t="s">
        <v>38</v>
      </c>
      <c r="F167" t="s">
        <v>20</v>
      </c>
      <c r="G167" t="s">
        <v>21</v>
      </c>
      <c r="H167" s="1">
        <v>-148.22999999999999</v>
      </c>
      <c r="I167" t="s">
        <v>476</v>
      </c>
      <c r="J167" t="s">
        <v>23</v>
      </c>
      <c r="L167" t="s">
        <v>24</v>
      </c>
      <c r="M167" s="1">
        <v>0</v>
      </c>
      <c r="N167" s="1">
        <v>0</v>
      </c>
      <c r="O167" t="s">
        <v>57</v>
      </c>
      <c r="P167" t="s">
        <v>26</v>
      </c>
    </row>
    <row r="168" spans="1:16" x14ac:dyDescent="0.2">
      <c r="A168" t="s">
        <v>50</v>
      </c>
      <c r="B168" t="s">
        <v>51</v>
      </c>
      <c r="C168" t="s">
        <v>477</v>
      </c>
      <c r="D168">
        <v>53700012953</v>
      </c>
      <c r="E168" t="s">
        <v>38</v>
      </c>
      <c r="F168" t="s">
        <v>20</v>
      </c>
      <c r="G168" t="s">
        <v>21</v>
      </c>
      <c r="H168" s="1">
        <v>3958.41</v>
      </c>
      <c r="I168" t="s">
        <v>478</v>
      </c>
      <c r="J168" t="s">
        <v>23</v>
      </c>
      <c r="L168" t="s">
        <v>24</v>
      </c>
      <c r="M168" s="1">
        <v>0</v>
      </c>
      <c r="N168" s="1">
        <v>-151677.01999999999</v>
      </c>
      <c r="O168" t="s">
        <v>57</v>
      </c>
      <c r="P168" t="s">
        <v>26</v>
      </c>
    </row>
    <row r="169" spans="1:16" x14ac:dyDescent="0.2">
      <c r="A169" t="s">
        <v>50</v>
      </c>
      <c r="B169" t="s">
        <v>51</v>
      </c>
      <c r="C169" t="s">
        <v>479</v>
      </c>
      <c r="D169">
        <v>53700010484</v>
      </c>
      <c r="E169" t="s">
        <v>38</v>
      </c>
      <c r="F169" t="s">
        <v>20</v>
      </c>
      <c r="G169" t="s">
        <v>21</v>
      </c>
      <c r="H169" s="1">
        <v>1638.05</v>
      </c>
      <c r="I169" t="s">
        <v>478</v>
      </c>
      <c r="J169" t="s">
        <v>23</v>
      </c>
      <c r="L169" t="s">
        <v>24</v>
      </c>
      <c r="M169" s="1">
        <v>0</v>
      </c>
      <c r="N169" s="1">
        <v>-1640</v>
      </c>
      <c r="O169" t="s">
        <v>57</v>
      </c>
      <c r="P169" t="s">
        <v>26</v>
      </c>
    </row>
    <row r="170" spans="1:16" x14ac:dyDescent="0.2">
      <c r="A170" t="s">
        <v>50</v>
      </c>
      <c r="B170" t="s">
        <v>51</v>
      </c>
      <c r="C170" t="s">
        <v>480</v>
      </c>
      <c r="D170">
        <v>53700012954</v>
      </c>
      <c r="E170" t="s">
        <v>38</v>
      </c>
      <c r="F170" t="s">
        <v>20</v>
      </c>
      <c r="G170" t="s">
        <v>21</v>
      </c>
      <c r="H170" s="1">
        <v>3759.38</v>
      </c>
      <c r="I170" t="s">
        <v>478</v>
      </c>
      <c r="J170" t="s">
        <v>23</v>
      </c>
      <c r="L170" t="s">
        <v>24</v>
      </c>
      <c r="M170" s="1">
        <v>0</v>
      </c>
      <c r="N170" s="1">
        <v>-154452.19</v>
      </c>
      <c r="O170" t="s">
        <v>57</v>
      </c>
      <c r="P170" t="s">
        <v>26</v>
      </c>
    </row>
    <row r="171" spans="1:16" x14ac:dyDescent="0.2">
      <c r="A171" t="s">
        <v>50</v>
      </c>
      <c r="B171" t="s">
        <v>51</v>
      </c>
      <c r="C171" t="s">
        <v>481</v>
      </c>
      <c r="D171">
        <v>53700008079</v>
      </c>
      <c r="E171" t="s">
        <v>38</v>
      </c>
      <c r="F171" t="s">
        <v>20</v>
      </c>
      <c r="G171" t="s">
        <v>21</v>
      </c>
      <c r="H171" s="1">
        <v>269.20999999999998</v>
      </c>
      <c r="I171" t="s">
        <v>482</v>
      </c>
      <c r="J171" t="s">
        <v>23</v>
      </c>
      <c r="L171" t="s">
        <v>24</v>
      </c>
      <c r="M171" s="1">
        <v>0</v>
      </c>
      <c r="N171" s="1">
        <v>0</v>
      </c>
      <c r="O171" t="s">
        <v>57</v>
      </c>
      <c r="P171" t="s">
        <v>26</v>
      </c>
    </row>
    <row r="172" spans="1:16" x14ac:dyDescent="0.2">
      <c r="A172" t="s">
        <v>50</v>
      </c>
      <c r="B172" t="s">
        <v>51</v>
      </c>
      <c r="C172" t="s">
        <v>483</v>
      </c>
      <c r="D172">
        <v>53700011846</v>
      </c>
      <c r="E172" t="s">
        <v>71</v>
      </c>
      <c r="F172" t="s">
        <v>484</v>
      </c>
      <c r="G172" t="s">
        <v>485</v>
      </c>
      <c r="H172" s="1">
        <v>164.5</v>
      </c>
      <c r="I172" t="s">
        <v>486</v>
      </c>
      <c r="J172" t="s">
        <v>487</v>
      </c>
      <c r="L172" t="s">
        <v>488</v>
      </c>
      <c r="M172" s="1">
        <v>0</v>
      </c>
      <c r="N172" s="1">
        <v>-4608.18</v>
      </c>
      <c r="O172" t="s">
        <v>57</v>
      </c>
      <c r="P172" t="s">
        <v>26</v>
      </c>
    </row>
    <row r="173" spans="1:16" x14ac:dyDescent="0.2">
      <c r="A173" t="s">
        <v>50</v>
      </c>
      <c r="B173" t="s">
        <v>51</v>
      </c>
      <c r="C173" t="s">
        <v>489</v>
      </c>
      <c r="D173">
        <v>53700008675</v>
      </c>
      <c r="E173" t="s">
        <v>71</v>
      </c>
      <c r="F173" t="s">
        <v>20</v>
      </c>
      <c r="G173" t="s">
        <v>21</v>
      </c>
      <c r="H173" s="1">
        <v>3449.49</v>
      </c>
      <c r="I173" t="s">
        <v>490</v>
      </c>
      <c r="J173" t="s">
        <v>23</v>
      </c>
      <c r="L173" t="s">
        <v>24</v>
      </c>
      <c r="M173" s="1">
        <v>0</v>
      </c>
      <c r="N173" s="1">
        <v>0</v>
      </c>
      <c r="O173" t="s">
        <v>57</v>
      </c>
      <c r="P173" t="s">
        <v>26</v>
      </c>
    </row>
    <row r="174" spans="1:16" x14ac:dyDescent="0.2">
      <c r="A174" t="s">
        <v>50</v>
      </c>
      <c r="B174" t="s">
        <v>51</v>
      </c>
      <c r="C174" t="s">
        <v>71</v>
      </c>
      <c r="D174">
        <v>53700012254</v>
      </c>
      <c r="E174" t="s">
        <v>71</v>
      </c>
      <c r="F174" t="s">
        <v>491</v>
      </c>
      <c r="G174" t="s">
        <v>492</v>
      </c>
      <c r="H174" s="1">
        <v>3746.08</v>
      </c>
      <c r="I174" t="s">
        <v>493</v>
      </c>
      <c r="J174" t="s">
        <v>56</v>
      </c>
      <c r="L174" t="s">
        <v>494</v>
      </c>
      <c r="M174" s="1">
        <v>0</v>
      </c>
      <c r="N174" s="1">
        <v>-6500</v>
      </c>
      <c r="O174" t="s">
        <v>57</v>
      </c>
      <c r="P174" t="s">
        <v>26</v>
      </c>
    </row>
    <row r="175" spans="1:16" x14ac:dyDescent="0.2">
      <c r="A175" t="s">
        <v>50</v>
      </c>
      <c r="B175" t="s">
        <v>51</v>
      </c>
      <c r="C175" t="s">
        <v>495</v>
      </c>
      <c r="D175">
        <v>53700009254</v>
      </c>
      <c r="E175" t="s">
        <v>71</v>
      </c>
      <c r="F175" t="s">
        <v>20</v>
      </c>
      <c r="G175" t="s">
        <v>21</v>
      </c>
      <c r="H175" s="1">
        <v>694.09</v>
      </c>
      <c r="I175" t="s">
        <v>496</v>
      </c>
      <c r="J175" t="s">
        <v>23</v>
      </c>
      <c r="L175" t="s">
        <v>24</v>
      </c>
      <c r="M175" s="1">
        <v>0</v>
      </c>
      <c r="N175" s="1">
        <v>0</v>
      </c>
      <c r="O175" t="s">
        <v>57</v>
      </c>
      <c r="P175" t="s">
        <v>26</v>
      </c>
    </row>
    <row r="176" spans="1:16" x14ac:dyDescent="0.2">
      <c r="A176" t="s">
        <v>50</v>
      </c>
      <c r="B176" t="s">
        <v>51</v>
      </c>
      <c r="C176" t="s">
        <v>497</v>
      </c>
      <c r="D176">
        <v>53700010845</v>
      </c>
      <c r="E176" t="s">
        <v>71</v>
      </c>
      <c r="F176" t="s">
        <v>20</v>
      </c>
      <c r="G176" t="s">
        <v>21</v>
      </c>
      <c r="H176" s="1">
        <v>532.55999999999995</v>
      </c>
      <c r="I176" t="s">
        <v>498</v>
      </c>
      <c r="J176" t="s">
        <v>23</v>
      </c>
      <c r="L176" t="s">
        <v>24</v>
      </c>
      <c r="M176" s="1">
        <v>0</v>
      </c>
      <c r="N176" s="1">
        <v>0</v>
      </c>
      <c r="O176" t="s">
        <v>57</v>
      </c>
      <c r="P176" t="s">
        <v>26</v>
      </c>
    </row>
    <row r="177" spans="1:16" x14ac:dyDescent="0.2">
      <c r="A177" t="s">
        <v>50</v>
      </c>
      <c r="B177" t="s">
        <v>51</v>
      </c>
      <c r="C177" t="s">
        <v>499</v>
      </c>
      <c r="D177">
        <v>53700006152</v>
      </c>
      <c r="E177" t="s">
        <v>71</v>
      </c>
      <c r="F177" t="s">
        <v>20</v>
      </c>
      <c r="G177" t="s">
        <v>21</v>
      </c>
      <c r="H177" s="1">
        <v>904.57</v>
      </c>
      <c r="I177" t="s">
        <v>500</v>
      </c>
      <c r="J177" t="s">
        <v>23</v>
      </c>
      <c r="L177" t="s">
        <v>24</v>
      </c>
      <c r="M177" s="1">
        <v>0</v>
      </c>
      <c r="N177" s="1">
        <v>0</v>
      </c>
      <c r="O177" t="s">
        <v>57</v>
      </c>
      <c r="P177" t="s">
        <v>26</v>
      </c>
    </row>
    <row r="178" spans="1:16" x14ac:dyDescent="0.2">
      <c r="A178" t="s">
        <v>50</v>
      </c>
      <c r="B178" t="s">
        <v>51</v>
      </c>
      <c r="C178" t="s">
        <v>122</v>
      </c>
      <c r="D178">
        <v>53700011551</v>
      </c>
      <c r="E178" t="s">
        <v>71</v>
      </c>
      <c r="F178" t="s">
        <v>20</v>
      </c>
      <c r="G178" t="s">
        <v>21</v>
      </c>
      <c r="H178" s="1">
        <v>616.41</v>
      </c>
      <c r="I178" t="s">
        <v>501</v>
      </c>
      <c r="J178" t="s">
        <v>23</v>
      </c>
      <c r="L178" t="s">
        <v>24</v>
      </c>
      <c r="M178" s="1">
        <v>0</v>
      </c>
      <c r="N178" s="1">
        <v>0</v>
      </c>
      <c r="O178" t="s">
        <v>57</v>
      </c>
      <c r="P178" t="s">
        <v>26</v>
      </c>
    </row>
    <row r="179" spans="1:16" x14ac:dyDescent="0.2">
      <c r="A179" t="s">
        <v>50</v>
      </c>
      <c r="B179" t="s">
        <v>51</v>
      </c>
      <c r="C179" t="s">
        <v>502</v>
      </c>
      <c r="D179">
        <v>53700009063</v>
      </c>
      <c r="E179" t="s">
        <v>71</v>
      </c>
      <c r="F179" t="s">
        <v>20</v>
      </c>
      <c r="G179" t="s">
        <v>21</v>
      </c>
      <c r="H179" s="1">
        <v>340.02</v>
      </c>
      <c r="I179" t="s">
        <v>503</v>
      </c>
      <c r="J179" t="s">
        <v>23</v>
      </c>
      <c r="L179" t="s">
        <v>24</v>
      </c>
      <c r="M179" s="1">
        <v>0</v>
      </c>
      <c r="N179" s="1">
        <v>0</v>
      </c>
      <c r="O179" t="s">
        <v>57</v>
      </c>
      <c r="P179" t="s">
        <v>26</v>
      </c>
    </row>
    <row r="180" spans="1:16" x14ac:dyDescent="0.2">
      <c r="A180" t="s">
        <v>50</v>
      </c>
      <c r="B180" t="s">
        <v>51</v>
      </c>
      <c r="C180" t="s">
        <v>504</v>
      </c>
      <c r="D180">
        <v>53700011136</v>
      </c>
      <c r="E180" t="s">
        <v>44</v>
      </c>
      <c r="F180" t="s">
        <v>20</v>
      </c>
      <c r="G180" t="s">
        <v>21</v>
      </c>
      <c r="H180" s="1">
        <v>52.98</v>
      </c>
      <c r="I180" t="s">
        <v>505</v>
      </c>
      <c r="J180" t="s">
        <v>23</v>
      </c>
      <c r="L180" t="s">
        <v>24</v>
      </c>
      <c r="M180" s="1">
        <v>0</v>
      </c>
      <c r="N180" s="1">
        <v>0</v>
      </c>
      <c r="O180" t="s">
        <v>57</v>
      </c>
      <c r="P180" t="s">
        <v>26</v>
      </c>
    </row>
    <row r="181" spans="1:16" x14ac:dyDescent="0.2">
      <c r="A181" t="s">
        <v>50</v>
      </c>
      <c r="B181" t="s">
        <v>51</v>
      </c>
      <c r="C181" t="s">
        <v>506</v>
      </c>
      <c r="D181">
        <v>53700006604</v>
      </c>
      <c r="E181" t="s">
        <v>44</v>
      </c>
      <c r="F181" t="s">
        <v>20</v>
      </c>
      <c r="G181" t="s">
        <v>21</v>
      </c>
      <c r="H181" s="1">
        <v>6.61</v>
      </c>
      <c r="I181" t="s">
        <v>507</v>
      </c>
      <c r="J181" t="s">
        <v>23</v>
      </c>
      <c r="L181" t="s">
        <v>24</v>
      </c>
      <c r="M181" s="1">
        <v>0</v>
      </c>
      <c r="N181" s="1">
        <v>0</v>
      </c>
      <c r="O181" t="s">
        <v>57</v>
      </c>
      <c r="P181" t="s">
        <v>26</v>
      </c>
    </row>
    <row r="182" spans="1:16" x14ac:dyDescent="0.2">
      <c r="A182" t="s">
        <v>50</v>
      </c>
      <c r="B182" t="s">
        <v>51</v>
      </c>
      <c r="C182" t="s">
        <v>508</v>
      </c>
      <c r="D182">
        <v>53700010752</v>
      </c>
      <c r="E182" t="s">
        <v>44</v>
      </c>
      <c r="F182" t="s">
        <v>20</v>
      </c>
      <c r="G182" t="s">
        <v>21</v>
      </c>
      <c r="H182" s="1">
        <v>500</v>
      </c>
      <c r="I182" t="s">
        <v>509</v>
      </c>
      <c r="J182" t="s">
        <v>23</v>
      </c>
      <c r="L182" t="s">
        <v>24</v>
      </c>
      <c r="M182" s="1">
        <v>0</v>
      </c>
      <c r="N182" s="1">
        <v>0</v>
      </c>
      <c r="O182" t="s">
        <v>57</v>
      </c>
      <c r="P182" t="s">
        <v>26</v>
      </c>
    </row>
    <row r="183" spans="1:16" x14ac:dyDescent="0.2">
      <c r="A183" t="s">
        <v>50</v>
      </c>
      <c r="B183" t="s">
        <v>51</v>
      </c>
      <c r="C183" t="s">
        <v>510</v>
      </c>
      <c r="D183">
        <v>53700005749</v>
      </c>
      <c r="E183" t="s">
        <v>44</v>
      </c>
      <c r="F183" t="s">
        <v>20</v>
      </c>
      <c r="G183" t="s">
        <v>21</v>
      </c>
      <c r="H183" s="1">
        <v>834.31</v>
      </c>
      <c r="I183" t="s">
        <v>511</v>
      </c>
      <c r="J183" t="s">
        <v>23</v>
      </c>
      <c r="L183" t="s">
        <v>24</v>
      </c>
      <c r="M183" s="1">
        <v>0</v>
      </c>
      <c r="N183" s="1">
        <v>0</v>
      </c>
      <c r="O183" t="s">
        <v>57</v>
      </c>
      <c r="P183" t="s">
        <v>26</v>
      </c>
    </row>
    <row r="184" spans="1:16" x14ac:dyDescent="0.2">
      <c r="A184" t="s">
        <v>50</v>
      </c>
      <c r="B184" t="s">
        <v>51</v>
      </c>
      <c r="C184" t="s">
        <v>44</v>
      </c>
      <c r="D184">
        <v>53700009907</v>
      </c>
      <c r="E184" t="s">
        <v>44</v>
      </c>
      <c r="F184" t="s">
        <v>20</v>
      </c>
      <c r="G184" t="s">
        <v>21</v>
      </c>
      <c r="H184" s="1">
        <v>3579.99</v>
      </c>
      <c r="I184" t="s">
        <v>512</v>
      </c>
      <c r="J184" t="s">
        <v>23</v>
      </c>
      <c r="L184" t="s">
        <v>24</v>
      </c>
      <c r="M184" s="1">
        <v>0</v>
      </c>
      <c r="N184" s="1">
        <v>0</v>
      </c>
      <c r="O184" t="s">
        <v>57</v>
      </c>
      <c r="P184" t="s">
        <v>26</v>
      </c>
    </row>
    <row r="185" spans="1:16" x14ac:dyDescent="0.2">
      <c r="A185" t="s">
        <v>50</v>
      </c>
      <c r="B185" t="s">
        <v>51</v>
      </c>
      <c r="C185" t="s">
        <v>513</v>
      </c>
      <c r="D185">
        <v>53700008046</v>
      </c>
      <c r="E185" t="s">
        <v>44</v>
      </c>
      <c r="F185" t="s">
        <v>20</v>
      </c>
      <c r="G185" t="s">
        <v>21</v>
      </c>
      <c r="H185" s="1">
        <v>942.5</v>
      </c>
      <c r="I185" t="s">
        <v>514</v>
      </c>
      <c r="J185" t="s">
        <v>23</v>
      </c>
      <c r="L185" t="s">
        <v>24</v>
      </c>
      <c r="M185" s="1">
        <v>0</v>
      </c>
      <c r="N185" s="1">
        <v>-60000</v>
      </c>
      <c r="O185" t="s">
        <v>57</v>
      </c>
      <c r="P185" t="s">
        <v>26</v>
      </c>
    </row>
    <row r="186" spans="1:16" x14ac:dyDescent="0.2">
      <c r="A186" t="s">
        <v>50</v>
      </c>
      <c r="B186" t="s">
        <v>51</v>
      </c>
      <c r="C186" t="s">
        <v>515</v>
      </c>
      <c r="D186">
        <v>53700007261</v>
      </c>
      <c r="E186" t="s">
        <v>44</v>
      </c>
      <c r="F186" t="s">
        <v>20</v>
      </c>
      <c r="G186" t="s">
        <v>21</v>
      </c>
      <c r="H186" s="1">
        <v>725.6</v>
      </c>
      <c r="I186" t="s">
        <v>516</v>
      </c>
      <c r="J186" t="s">
        <v>23</v>
      </c>
      <c r="L186" t="s">
        <v>24</v>
      </c>
      <c r="M186" s="1">
        <v>0</v>
      </c>
      <c r="N186" s="1">
        <v>0</v>
      </c>
      <c r="O186" t="s">
        <v>57</v>
      </c>
      <c r="P186" t="s">
        <v>26</v>
      </c>
    </row>
    <row r="187" spans="1:16" x14ac:dyDescent="0.2">
      <c r="A187" t="s">
        <v>50</v>
      </c>
      <c r="B187" t="s">
        <v>51</v>
      </c>
      <c r="C187" t="s">
        <v>517</v>
      </c>
      <c r="D187">
        <v>53700008078</v>
      </c>
      <c r="E187" t="s">
        <v>44</v>
      </c>
      <c r="F187" t="s">
        <v>20</v>
      </c>
      <c r="G187" t="s">
        <v>21</v>
      </c>
      <c r="H187" s="1">
        <v>2683.45</v>
      </c>
      <c r="I187" t="s">
        <v>518</v>
      </c>
      <c r="J187" t="s">
        <v>23</v>
      </c>
      <c r="L187" t="s">
        <v>24</v>
      </c>
      <c r="M187" s="1">
        <v>0</v>
      </c>
      <c r="N187" s="1">
        <v>0</v>
      </c>
      <c r="O187" t="s">
        <v>57</v>
      </c>
      <c r="P187" t="s">
        <v>26</v>
      </c>
    </row>
    <row r="188" spans="1:16" x14ac:dyDescent="0.2">
      <c r="A188" t="s">
        <v>50</v>
      </c>
      <c r="B188" t="s">
        <v>51</v>
      </c>
      <c r="C188" t="s">
        <v>519</v>
      </c>
      <c r="D188">
        <v>53700008873</v>
      </c>
      <c r="E188" t="s">
        <v>44</v>
      </c>
      <c r="F188" t="s">
        <v>520</v>
      </c>
      <c r="G188" t="s">
        <v>521</v>
      </c>
      <c r="H188" s="1">
        <v>680</v>
      </c>
      <c r="I188" t="s">
        <v>522</v>
      </c>
      <c r="J188" t="s">
        <v>487</v>
      </c>
      <c r="L188" t="s">
        <v>488</v>
      </c>
      <c r="M188" s="1">
        <v>0</v>
      </c>
      <c r="N188" s="1">
        <v>-4500</v>
      </c>
      <c r="O188" t="s">
        <v>57</v>
      </c>
      <c r="P188" t="s">
        <v>26</v>
      </c>
    </row>
    <row r="189" spans="1:16" x14ac:dyDescent="0.2">
      <c r="A189" t="s">
        <v>50</v>
      </c>
      <c r="B189" t="s">
        <v>51</v>
      </c>
      <c r="C189" t="s">
        <v>523</v>
      </c>
      <c r="D189">
        <v>53700006820</v>
      </c>
      <c r="E189" t="s">
        <v>128</v>
      </c>
      <c r="F189" t="s">
        <v>20</v>
      </c>
      <c r="G189" t="s">
        <v>21</v>
      </c>
      <c r="H189" s="1">
        <v>3501.03</v>
      </c>
      <c r="I189" t="s">
        <v>524</v>
      </c>
      <c r="J189" t="s">
        <v>23</v>
      </c>
      <c r="L189" t="s">
        <v>24</v>
      </c>
      <c r="M189" s="1">
        <v>0</v>
      </c>
      <c r="N189" s="1">
        <v>0</v>
      </c>
      <c r="O189" t="s">
        <v>57</v>
      </c>
      <c r="P189" t="s">
        <v>26</v>
      </c>
    </row>
    <row r="190" spans="1:16" x14ac:dyDescent="0.2">
      <c r="A190" t="s">
        <v>50</v>
      </c>
      <c r="B190" t="s">
        <v>51</v>
      </c>
      <c r="C190" t="s">
        <v>525</v>
      </c>
      <c r="D190">
        <v>53700009587</v>
      </c>
      <c r="E190" t="s">
        <v>96</v>
      </c>
      <c r="F190" t="s">
        <v>20</v>
      </c>
      <c r="G190" t="s">
        <v>21</v>
      </c>
      <c r="H190" s="1">
        <v>-59.67</v>
      </c>
      <c r="I190" t="s">
        <v>526</v>
      </c>
      <c r="J190" t="s">
        <v>23</v>
      </c>
      <c r="L190" t="s">
        <v>24</v>
      </c>
      <c r="M190" s="1">
        <v>0</v>
      </c>
      <c r="N190" s="1">
        <v>-5000</v>
      </c>
      <c r="O190" t="s">
        <v>57</v>
      </c>
      <c r="P190" t="s">
        <v>26</v>
      </c>
    </row>
    <row r="191" spans="1:16" x14ac:dyDescent="0.2">
      <c r="A191" t="s">
        <v>50</v>
      </c>
      <c r="B191" t="s">
        <v>51</v>
      </c>
      <c r="C191" t="s">
        <v>527</v>
      </c>
      <c r="D191">
        <v>53700009825</v>
      </c>
      <c r="E191" t="s">
        <v>96</v>
      </c>
      <c r="F191" t="s">
        <v>20</v>
      </c>
      <c r="G191" t="s">
        <v>21</v>
      </c>
      <c r="H191" s="1">
        <v>19.190000000000001</v>
      </c>
      <c r="I191" t="s">
        <v>528</v>
      </c>
      <c r="J191" t="s">
        <v>23</v>
      </c>
      <c r="L191" t="s">
        <v>24</v>
      </c>
      <c r="M191" s="1">
        <v>0</v>
      </c>
      <c r="N191" s="1">
        <v>-7000</v>
      </c>
      <c r="O191" t="s">
        <v>57</v>
      </c>
      <c r="P191" t="s">
        <v>26</v>
      </c>
    </row>
    <row r="192" spans="1:16" x14ac:dyDescent="0.2">
      <c r="A192" t="s">
        <v>50</v>
      </c>
      <c r="B192" t="s">
        <v>51</v>
      </c>
      <c r="C192" t="s">
        <v>529</v>
      </c>
      <c r="D192">
        <v>53700008672</v>
      </c>
      <c r="E192" t="s">
        <v>96</v>
      </c>
      <c r="F192" t="s">
        <v>20</v>
      </c>
      <c r="G192" t="s">
        <v>21</v>
      </c>
      <c r="H192" s="1">
        <v>0</v>
      </c>
      <c r="I192" t="s">
        <v>530</v>
      </c>
      <c r="J192" t="s">
        <v>23</v>
      </c>
      <c r="L192" t="s">
        <v>24</v>
      </c>
      <c r="M192" s="1">
        <v>0</v>
      </c>
      <c r="N192" s="1">
        <v>0</v>
      </c>
      <c r="O192" t="s">
        <v>57</v>
      </c>
      <c r="P192" t="s">
        <v>26</v>
      </c>
    </row>
    <row r="193" spans="1:16" x14ac:dyDescent="0.2">
      <c r="A193" t="s">
        <v>50</v>
      </c>
      <c r="B193" t="s">
        <v>51</v>
      </c>
      <c r="C193" t="s">
        <v>180</v>
      </c>
      <c r="D193">
        <v>53700011153</v>
      </c>
      <c r="E193" t="s">
        <v>96</v>
      </c>
      <c r="F193" t="s">
        <v>20</v>
      </c>
      <c r="G193" t="s">
        <v>21</v>
      </c>
      <c r="H193" s="1">
        <v>-372.59</v>
      </c>
      <c r="I193" t="s">
        <v>531</v>
      </c>
      <c r="J193" t="s">
        <v>23</v>
      </c>
      <c r="L193" t="s">
        <v>24</v>
      </c>
      <c r="M193" s="1">
        <v>0</v>
      </c>
      <c r="N193" s="1">
        <v>-160000</v>
      </c>
      <c r="O193" t="s">
        <v>57</v>
      </c>
      <c r="P193" t="s">
        <v>26</v>
      </c>
    </row>
    <row r="194" spans="1:16" x14ac:dyDescent="0.2">
      <c r="A194" t="s">
        <v>50</v>
      </c>
      <c r="B194" t="s">
        <v>51</v>
      </c>
      <c r="C194" t="s">
        <v>532</v>
      </c>
      <c r="D194">
        <v>53700010398</v>
      </c>
      <c r="E194" t="s">
        <v>96</v>
      </c>
      <c r="F194" t="s">
        <v>20</v>
      </c>
      <c r="G194" t="s">
        <v>21</v>
      </c>
      <c r="H194" s="1">
        <v>30.69</v>
      </c>
      <c r="I194" t="s">
        <v>533</v>
      </c>
      <c r="J194" t="s">
        <v>23</v>
      </c>
      <c r="L194" t="s">
        <v>24</v>
      </c>
      <c r="M194" s="1">
        <v>0</v>
      </c>
      <c r="N194" s="1">
        <v>0</v>
      </c>
      <c r="O194" t="s">
        <v>57</v>
      </c>
      <c r="P194" t="s">
        <v>26</v>
      </c>
    </row>
    <row r="195" spans="1:16" x14ac:dyDescent="0.2">
      <c r="A195" t="s">
        <v>50</v>
      </c>
      <c r="B195" t="s">
        <v>51</v>
      </c>
      <c r="C195" t="s">
        <v>534</v>
      </c>
      <c r="D195">
        <v>53700009526</v>
      </c>
      <c r="E195" t="s">
        <v>96</v>
      </c>
      <c r="F195" t="s">
        <v>20</v>
      </c>
      <c r="G195" t="s">
        <v>21</v>
      </c>
      <c r="H195" s="1">
        <v>24</v>
      </c>
      <c r="I195" t="s">
        <v>535</v>
      </c>
      <c r="J195" t="s">
        <v>23</v>
      </c>
      <c r="L195" t="s">
        <v>24</v>
      </c>
      <c r="M195" s="1">
        <v>0</v>
      </c>
      <c r="N195" s="1">
        <v>0</v>
      </c>
      <c r="O195" t="s">
        <v>57</v>
      </c>
      <c r="P195" t="s">
        <v>26</v>
      </c>
    </row>
    <row r="196" spans="1:16" x14ac:dyDescent="0.2">
      <c r="A196" t="s">
        <v>50</v>
      </c>
      <c r="B196" t="s">
        <v>51</v>
      </c>
      <c r="C196" t="s">
        <v>536</v>
      </c>
      <c r="D196">
        <v>53700012262</v>
      </c>
      <c r="E196" t="s">
        <v>96</v>
      </c>
      <c r="F196" t="s">
        <v>20</v>
      </c>
      <c r="G196" t="s">
        <v>21</v>
      </c>
      <c r="H196" s="1">
        <v>-474.41</v>
      </c>
      <c r="I196" t="s">
        <v>537</v>
      </c>
      <c r="J196" t="s">
        <v>23</v>
      </c>
      <c r="L196" t="s">
        <v>24</v>
      </c>
      <c r="M196" s="1">
        <v>0</v>
      </c>
      <c r="N196" s="1">
        <v>0</v>
      </c>
      <c r="O196" t="s">
        <v>57</v>
      </c>
      <c r="P196" t="s">
        <v>26</v>
      </c>
    </row>
    <row r="197" spans="1:16" x14ac:dyDescent="0.2">
      <c r="A197" t="s">
        <v>50</v>
      </c>
      <c r="B197" t="s">
        <v>51</v>
      </c>
      <c r="C197" t="s">
        <v>302</v>
      </c>
      <c r="D197">
        <v>623355</v>
      </c>
      <c r="E197" t="s">
        <v>96</v>
      </c>
      <c r="F197" t="s">
        <v>20</v>
      </c>
      <c r="G197" t="s">
        <v>21</v>
      </c>
      <c r="H197" s="1">
        <v>259.17</v>
      </c>
      <c r="I197" t="s">
        <v>538</v>
      </c>
      <c r="J197" t="s">
        <v>23</v>
      </c>
      <c r="L197" t="s">
        <v>24</v>
      </c>
      <c r="M197" s="1">
        <v>0</v>
      </c>
      <c r="N197" s="1">
        <v>0</v>
      </c>
      <c r="O197" t="s">
        <v>57</v>
      </c>
      <c r="P197" t="s">
        <v>26</v>
      </c>
    </row>
    <row r="198" spans="1:16" x14ac:dyDescent="0.2">
      <c r="A198" t="s">
        <v>50</v>
      </c>
      <c r="B198" t="s">
        <v>51</v>
      </c>
      <c r="C198" t="s">
        <v>149</v>
      </c>
      <c r="D198">
        <v>53700008580</v>
      </c>
      <c r="E198" t="s">
        <v>96</v>
      </c>
      <c r="F198" t="s">
        <v>20</v>
      </c>
      <c r="G198" t="s">
        <v>21</v>
      </c>
      <c r="H198" s="1">
        <v>281.01</v>
      </c>
      <c r="I198" t="s">
        <v>539</v>
      </c>
      <c r="J198" t="s">
        <v>23</v>
      </c>
      <c r="L198" t="s">
        <v>24</v>
      </c>
      <c r="M198" s="1">
        <v>0</v>
      </c>
      <c r="N198" s="1">
        <v>-25000</v>
      </c>
      <c r="O198" t="s">
        <v>57</v>
      </c>
      <c r="P198" t="s">
        <v>26</v>
      </c>
    </row>
    <row r="199" spans="1:16" x14ac:dyDescent="0.2">
      <c r="A199" t="s">
        <v>50</v>
      </c>
      <c r="B199" t="s">
        <v>51</v>
      </c>
      <c r="C199" t="s">
        <v>540</v>
      </c>
      <c r="D199">
        <v>53700011224</v>
      </c>
      <c r="E199" t="s">
        <v>203</v>
      </c>
      <c r="F199" t="s">
        <v>20</v>
      </c>
      <c r="G199" t="s">
        <v>21</v>
      </c>
      <c r="H199" s="1">
        <v>-284.06</v>
      </c>
      <c r="I199" t="s">
        <v>541</v>
      </c>
      <c r="J199" t="s">
        <v>23</v>
      </c>
      <c r="L199" t="s">
        <v>24</v>
      </c>
      <c r="M199" s="1">
        <v>0</v>
      </c>
      <c r="N199" s="1">
        <v>0</v>
      </c>
      <c r="O199" t="s">
        <v>57</v>
      </c>
      <c r="P199" t="s">
        <v>26</v>
      </c>
    </row>
    <row r="200" spans="1:16" x14ac:dyDescent="0.2">
      <c r="A200" t="s">
        <v>50</v>
      </c>
      <c r="B200" t="s">
        <v>51</v>
      </c>
      <c r="C200" t="s">
        <v>542</v>
      </c>
      <c r="D200">
        <v>53700006654</v>
      </c>
      <c r="E200" t="s">
        <v>203</v>
      </c>
      <c r="F200" t="s">
        <v>543</v>
      </c>
      <c r="G200" t="s">
        <v>544</v>
      </c>
      <c r="H200" s="1">
        <v>192.4</v>
      </c>
      <c r="I200" t="s">
        <v>545</v>
      </c>
      <c r="J200" t="s">
        <v>487</v>
      </c>
      <c r="L200" t="s">
        <v>488</v>
      </c>
      <c r="M200" s="1">
        <v>0</v>
      </c>
      <c r="N200" s="1">
        <v>0</v>
      </c>
      <c r="O200" t="s">
        <v>57</v>
      </c>
      <c r="P200" t="s">
        <v>26</v>
      </c>
    </row>
    <row r="201" spans="1:16" x14ac:dyDescent="0.2">
      <c r="A201" t="s">
        <v>50</v>
      </c>
      <c r="B201" t="s">
        <v>51</v>
      </c>
      <c r="C201" t="s">
        <v>546</v>
      </c>
      <c r="D201">
        <v>53700006413</v>
      </c>
      <c r="E201" t="s">
        <v>203</v>
      </c>
      <c r="F201" t="s">
        <v>20</v>
      </c>
      <c r="G201" t="s">
        <v>21</v>
      </c>
      <c r="H201" s="1">
        <v>3157.1</v>
      </c>
      <c r="I201" t="s">
        <v>547</v>
      </c>
      <c r="J201" t="s">
        <v>23</v>
      </c>
      <c r="L201" t="s">
        <v>24</v>
      </c>
      <c r="M201" s="1">
        <v>0</v>
      </c>
      <c r="N201" s="1">
        <v>-2500</v>
      </c>
      <c r="O201" t="s">
        <v>57</v>
      </c>
      <c r="P201" t="s">
        <v>26</v>
      </c>
    </row>
    <row r="202" spans="1:16" x14ac:dyDescent="0.2">
      <c r="A202" t="s">
        <v>50</v>
      </c>
      <c r="B202" t="s">
        <v>51</v>
      </c>
      <c r="C202" t="s">
        <v>548</v>
      </c>
      <c r="D202">
        <v>53700010794</v>
      </c>
      <c r="E202" t="s">
        <v>203</v>
      </c>
      <c r="F202" t="s">
        <v>20</v>
      </c>
      <c r="G202" t="s">
        <v>21</v>
      </c>
      <c r="H202" s="1">
        <v>174.25</v>
      </c>
      <c r="I202" t="s">
        <v>549</v>
      </c>
      <c r="J202" t="s">
        <v>23</v>
      </c>
      <c r="L202" t="s">
        <v>24</v>
      </c>
      <c r="M202" s="1">
        <v>0</v>
      </c>
      <c r="N202" s="1">
        <v>0</v>
      </c>
      <c r="O202" t="s">
        <v>57</v>
      </c>
      <c r="P202" t="s">
        <v>26</v>
      </c>
    </row>
    <row r="203" spans="1:16" x14ac:dyDescent="0.2">
      <c r="A203" t="s">
        <v>50</v>
      </c>
      <c r="B203" t="s">
        <v>51</v>
      </c>
      <c r="C203" t="s">
        <v>550</v>
      </c>
      <c r="D203">
        <v>53700009802</v>
      </c>
      <c r="E203" t="s">
        <v>203</v>
      </c>
      <c r="F203" t="s">
        <v>20</v>
      </c>
      <c r="G203" t="s">
        <v>21</v>
      </c>
      <c r="H203" s="1">
        <v>17734.8</v>
      </c>
      <c r="I203" t="s">
        <v>551</v>
      </c>
      <c r="J203" t="s">
        <v>23</v>
      </c>
      <c r="L203" t="s">
        <v>24</v>
      </c>
      <c r="M203" s="1">
        <v>0</v>
      </c>
      <c r="N203" s="1">
        <v>0</v>
      </c>
      <c r="O203" t="s">
        <v>57</v>
      </c>
      <c r="P203" t="s">
        <v>26</v>
      </c>
    </row>
    <row r="204" spans="1:16" x14ac:dyDescent="0.2">
      <c r="A204" t="s">
        <v>50</v>
      </c>
      <c r="B204" t="s">
        <v>51</v>
      </c>
      <c r="C204" t="s">
        <v>552</v>
      </c>
      <c r="D204">
        <v>53700004084</v>
      </c>
      <c r="E204" t="s">
        <v>203</v>
      </c>
      <c r="F204" t="s">
        <v>20</v>
      </c>
      <c r="G204" t="s">
        <v>21</v>
      </c>
      <c r="H204" s="1">
        <v>0</v>
      </c>
      <c r="I204" t="s">
        <v>553</v>
      </c>
      <c r="J204" t="s">
        <v>23</v>
      </c>
      <c r="L204" t="s">
        <v>24</v>
      </c>
      <c r="M204" s="1">
        <v>0</v>
      </c>
      <c r="N204" s="1">
        <v>-10800</v>
      </c>
      <c r="O204" t="s">
        <v>57</v>
      </c>
      <c r="P204" t="s">
        <v>26</v>
      </c>
    </row>
    <row r="205" spans="1:16" x14ac:dyDescent="0.2">
      <c r="A205" t="s">
        <v>50</v>
      </c>
      <c r="B205" t="s">
        <v>51</v>
      </c>
      <c r="C205" t="s">
        <v>554</v>
      </c>
      <c r="D205">
        <v>53700010363</v>
      </c>
      <c r="E205" t="s">
        <v>203</v>
      </c>
      <c r="F205" t="s">
        <v>543</v>
      </c>
      <c r="G205" t="s">
        <v>544</v>
      </c>
      <c r="H205" s="1">
        <v>97</v>
      </c>
      <c r="I205" t="s">
        <v>545</v>
      </c>
      <c r="J205" t="s">
        <v>487</v>
      </c>
      <c r="L205" t="s">
        <v>488</v>
      </c>
      <c r="M205" s="1">
        <v>0</v>
      </c>
      <c r="N205" s="1">
        <v>-12000</v>
      </c>
      <c r="O205" t="s">
        <v>57</v>
      </c>
      <c r="P205" t="s">
        <v>26</v>
      </c>
    </row>
    <row r="206" spans="1:16" x14ac:dyDescent="0.2">
      <c r="A206" t="s">
        <v>50</v>
      </c>
      <c r="B206" t="s">
        <v>51</v>
      </c>
      <c r="C206" t="s">
        <v>555</v>
      </c>
      <c r="D206">
        <v>53700004147</v>
      </c>
      <c r="E206" t="s">
        <v>203</v>
      </c>
      <c r="F206" t="s">
        <v>20</v>
      </c>
      <c r="G206" t="s">
        <v>21</v>
      </c>
      <c r="H206" s="1">
        <v>8.52</v>
      </c>
      <c r="I206" t="s">
        <v>556</v>
      </c>
      <c r="J206" t="s">
        <v>23</v>
      </c>
      <c r="L206" t="s">
        <v>24</v>
      </c>
      <c r="M206" s="1">
        <v>0</v>
      </c>
      <c r="N206" s="1">
        <v>-35800</v>
      </c>
      <c r="O206" t="s">
        <v>57</v>
      </c>
      <c r="P206" t="s">
        <v>26</v>
      </c>
    </row>
    <row r="207" spans="1:16" x14ac:dyDescent="0.2">
      <c r="A207" t="s">
        <v>50</v>
      </c>
      <c r="B207" t="s">
        <v>51</v>
      </c>
      <c r="C207" t="s">
        <v>557</v>
      </c>
      <c r="D207">
        <v>53700011150</v>
      </c>
      <c r="E207" t="s">
        <v>203</v>
      </c>
      <c r="F207" t="s">
        <v>20</v>
      </c>
      <c r="G207" t="s">
        <v>21</v>
      </c>
      <c r="H207" s="1">
        <v>857.47</v>
      </c>
      <c r="I207" t="s">
        <v>558</v>
      </c>
      <c r="J207" t="s">
        <v>23</v>
      </c>
      <c r="L207" t="s">
        <v>24</v>
      </c>
      <c r="M207" s="1">
        <v>0</v>
      </c>
      <c r="N207" s="1">
        <v>-4100</v>
      </c>
      <c r="O207" t="s">
        <v>57</v>
      </c>
      <c r="P207" t="s">
        <v>26</v>
      </c>
    </row>
    <row r="208" spans="1:16" x14ac:dyDescent="0.2">
      <c r="A208" t="s">
        <v>50</v>
      </c>
      <c r="B208" t="s">
        <v>51</v>
      </c>
      <c r="C208" t="s">
        <v>559</v>
      </c>
      <c r="D208">
        <v>53700009970</v>
      </c>
      <c r="E208" t="s">
        <v>203</v>
      </c>
      <c r="F208" t="s">
        <v>20</v>
      </c>
      <c r="G208" t="s">
        <v>21</v>
      </c>
      <c r="H208" s="1">
        <v>750.63</v>
      </c>
      <c r="I208" t="s">
        <v>560</v>
      </c>
      <c r="J208" t="s">
        <v>23</v>
      </c>
      <c r="L208" t="s">
        <v>24</v>
      </c>
      <c r="M208" s="1">
        <v>0</v>
      </c>
      <c r="N208" s="1">
        <v>0</v>
      </c>
      <c r="O208" t="s">
        <v>57</v>
      </c>
      <c r="P208" t="s">
        <v>26</v>
      </c>
    </row>
    <row r="209" spans="1:16" x14ac:dyDescent="0.2">
      <c r="A209" t="s">
        <v>50</v>
      </c>
      <c r="B209" t="s">
        <v>51</v>
      </c>
      <c r="C209" t="s">
        <v>561</v>
      </c>
      <c r="D209">
        <v>53700010783</v>
      </c>
      <c r="E209" t="s">
        <v>203</v>
      </c>
      <c r="F209" t="s">
        <v>543</v>
      </c>
      <c r="G209" t="s">
        <v>544</v>
      </c>
      <c r="H209" s="1">
        <v>115.4</v>
      </c>
      <c r="I209" t="s">
        <v>562</v>
      </c>
      <c r="J209" t="s">
        <v>487</v>
      </c>
      <c r="L209" t="s">
        <v>488</v>
      </c>
      <c r="M209" s="1">
        <v>0</v>
      </c>
      <c r="N209" s="1">
        <v>0</v>
      </c>
      <c r="O209" t="s">
        <v>57</v>
      </c>
      <c r="P209" t="s">
        <v>26</v>
      </c>
    </row>
    <row r="210" spans="1:16" x14ac:dyDescent="0.2">
      <c r="A210" t="s">
        <v>50</v>
      </c>
      <c r="B210" t="s">
        <v>51</v>
      </c>
      <c r="C210" t="s">
        <v>563</v>
      </c>
      <c r="D210">
        <v>53700010378</v>
      </c>
      <c r="E210" t="s">
        <v>203</v>
      </c>
      <c r="F210" t="s">
        <v>484</v>
      </c>
      <c r="G210" t="s">
        <v>485</v>
      </c>
      <c r="H210" s="1">
        <v>549.9</v>
      </c>
      <c r="I210" t="s">
        <v>545</v>
      </c>
      <c r="J210" t="s">
        <v>487</v>
      </c>
      <c r="L210" t="s">
        <v>488</v>
      </c>
      <c r="M210" s="1">
        <v>0</v>
      </c>
      <c r="N210" s="1">
        <v>0</v>
      </c>
      <c r="O210" t="s">
        <v>57</v>
      </c>
      <c r="P210" t="s">
        <v>26</v>
      </c>
    </row>
    <row r="211" spans="1:16" x14ac:dyDescent="0.2">
      <c r="A211" t="s">
        <v>50</v>
      </c>
      <c r="B211" t="s">
        <v>51</v>
      </c>
      <c r="C211" t="s">
        <v>564</v>
      </c>
      <c r="D211">
        <v>53700007124</v>
      </c>
      <c r="E211" t="s">
        <v>203</v>
      </c>
      <c r="F211" t="s">
        <v>20</v>
      </c>
      <c r="G211" t="s">
        <v>21</v>
      </c>
      <c r="H211" s="1">
        <v>1917.3</v>
      </c>
      <c r="I211" t="s">
        <v>565</v>
      </c>
      <c r="J211" t="s">
        <v>23</v>
      </c>
      <c r="L211" t="s">
        <v>24</v>
      </c>
      <c r="M211" s="1">
        <v>0</v>
      </c>
      <c r="N211" s="1">
        <v>0</v>
      </c>
      <c r="O211" t="s">
        <v>57</v>
      </c>
      <c r="P211" t="s">
        <v>26</v>
      </c>
    </row>
    <row r="212" spans="1:16" x14ac:dyDescent="0.2">
      <c r="A212" t="s">
        <v>50</v>
      </c>
      <c r="B212" t="s">
        <v>51</v>
      </c>
      <c r="C212" t="s">
        <v>566</v>
      </c>
      <c r="D212">
        <v>53700009352</v>
      </c>
      <c r="E212" t="s">
        <v>203</v>
      </c>
      <c r="F212" t="s">
        <v>20</v>
      </c>
      <c r="G212" t="s">
        <v>21</v>
      </c>
      <c r="H212" s="1">
        <v>17965.400000000001</v>
      </c>
      <c r="I212" t="s">
        <v>545</v>
      </c>
      <c r="J212" t="s">
        <v>23</v>
      </c>
      <c r="L212" t="s">
        <v>24</v>
      </c>
      <c r="M212" s="1">
        <v>0</v>
      </c>
      <c r="N212" s="1">
        <v>0</v>
      </c>
      <c r="O212" t="s">
        <v>57</v>
      </c>
      <c r="P212" t="s">
        <v>26</v>
      </c>
    </row>
    <row r="213" spans="1:16" x14ac:dyDescent="0.2">
      <c r="A213" t="s">
        <v>50</v>
      </c>
      <c r="B213" t="s">
        <v>51</v>
      </c>
      <c r="C213" t="s">
        <v>567</v>
      </c>
      <c r="D213">
        <v>53700005870</v>
      </c>
      <c r="E213" t="s">
        <v>203</v>
      </c>
      <c r="F213" t="s">
        <v>20</v>
      </c>
      <c r="G213" t="s">
        <v>21</v>
      </c>
      <c r="H213" s="1">
        <v>28584</v>
      </c>
      <c r="I213" t="s">
        <v>545</v>
      </c>
      <c r="J213" t="s">
        <v>23</v>
      </c>
      <c r="L213" t="s">
        <v>24</v>
      </c>
      <c r="M213" s="1">
        <v>0</v>
      </c>
      <c r="N213" s="1">
        <v>0</v>
      </c>
      <c r="O213" t="s">
        <v>57</v>
      </c>
      <c r="P213" t="s">
        <v>26</v>
      </c>
    </row>
    <row r="214" spans="1:16" x14ac:dyDescent="0.2">
      <c r="A214" t="s">
        <v>50</v>
      </c>
      <c r="B214" t="s">
        <v>51</v>
      </c>
      <c r="C214" t="s">
        <v>568</v>
      </c>
      <c r="D214">
        <v>53700008555</v>
      </c>
      <c r="E214" t="s">
        <v>203</v>
      </c>
      <c r="F214" t="s">
        <v>20</v>
      </c>
      <c r="G214" t="s">
        <v>21</v>
      </c>
      <c r="H214" s="1">
        <v>-102.48</v>
      </c>
      <c r="I214" t="s">
        <v>569</v>
      </c>
      <c r="J214" t="s">
        <v>23</v>
      </c>
      <c r="L214" t="s">
        <v>24</v>
      </c>
      <c r="M214" s="1">
        <v>0</v>
      </c>
      <c r="N214" s="1">
        <v>0</v>
      </c>
      <c r="O214" t="s">
        <v>57</v>
      </c>
      <c r="P214" t="s">
        <v>26</v>
      </c>
    </row>
    <row r="215" spans="1:16" x14ac:dyDescent="0.2">
      <c r="A215" t="s">
        <v>50</v>
      </c>
      <c r="B215" t="s">
        <v>51</v>
      </c>
      <c r="C215" t="s">
        <v>570</v>
      </c>
      <c r="D215">
        <v>53700007547</v>
      </c>
      <c r="E215" t="s">
        <v>203</v>
      </c>
      <c r="F215" t="s">
        <v>20</v>
      </c>
      <c r="G215" t="s">
        <v>21</v>
      </c>
      <c r="H215" s="1">
        <v>117</v>
      </c>
      <c r="I215" t="s">
        <v>545</v>
      </c>
      <c r="J215" t="s">
        <v>23</v>
      </c>
      <c r="L215" t="s">
        <v>24</v>
      </c>
      <c r="M215" s="1">
        <v>0</v>
      </c>
      <c r="N215" s="1">
        <v>0</v>
      </c>
      <c r="O215" t="s">
        <v>57</v>
      </c>
      <c r="P215" t="s">
        <v>26</v>
      </c>
    </row>
    <row r="216" spans="1:16" x14ac:dyDescent="0.2">
      <c r="A216" t="s">
        <v>50</v>
      </c>
      <c r="B216" t="s">
        <v>51</v>
      </c>
      <c r="C216" t="s">
        <v>571</v>
      </c>
      <c r="D216">
        <v>53700011507</v>
      </c>
      <c r="E216" t="s">
        <v>31</v>
      </c>
      <c r="F216" t="s">
        <v>20</v>
      </c>
      <c r="G216" t="s">
        <v>21</v>
      </c>
      <c r="H216" s="1">
        <v>5655.64</v>
      </c>
      <c r="I216" t="s">
        <v>572</v>
      </c>
      <c r="J216" t="s">
        <v>23</v>
      </c>
      <c r="L216" t="s">
        <v>24</v>
      </c>
      <c r="M216" s="1">
        <v>0</v>
      </c>
      <c r="N216" s="1">
        <v>0</v>
      </c>
      <c r="O216" t="s">
        <v>57</v>
      </c>
      <c r="P216" t="s">
        <v>26</v>
      </c>
    </row>
    <row r="217" spans="1:16" x14ac:dyDescent="0.2">
      <c r="A217" t="s">
        <v>50</v>
      </c>
      <c r="B217" t="s">
        <v>51</v>
      </c>
      <c r="C217" t="s">
        <v>573</v>
      </c>
      <c r="D217">
        <v>53700011067</v>
      </c>
      <c r="E217" t="s">
        <v>31</v>
      </c>
      <c r="F217" t="s">
        <v>53</v>
      </c>
      <c r="G217" t="s">
        <v>54</v>
      </c>
      <c r="H217" s="1">
        <v>1985</v>
      </c>
      <c r="I217" t="s">
        <v>572</v>
      </c>
      <c r="J217" t="s">
        <v>56</v>
      </c>
      <c r="L217" t="s">
        <v>40</v>
      </c>
      <c r="M217" s="1">
        <v>0</v>
      </c>
      <c r="N217" s="1">
        <v>0</v>
      </c>
      <c r="O217" t="s">
        <v>57</v>
      </c>
      <c r="P217" t="s">
        <v>26</v>
      </c>
    </row>
    <row r="218" spans="1:16" x14ac:dyDescent="0.2">
      <c r="B218" t="s">
        <v>51</v>
      </c>
      <c r="C218" t="s">
        <v>574</v>
      </c>
      <c r="D218">
        <v>53700005765</v>
      </c>
      <c r="H218" s="1"/>
      <c r="M218" s="1">
        <v>0</v>
      </c>
      <c r="N218" s="1">
        <v>-300472.19</v>
      </c>
      <c r="O218" t="s">
        <v>57</v>
      </c>
      <c r="P218" t="s">
        <v>26</v>
      </c>
    </row>
    <row r="219" spans="1:16" x14ac:dyDescent="0.2">
      <c r="B219" t="s">
        <v>51</v>
      </c>
      <c r="C219" t="s">
        <v>575</v>
      </c>
      <c r="D219">
        <v>53700009855</v>
      </c>
      <c r="H219" s="1"/>
      <c r="M219" s="1">
        <v>0</v>
      </c>
      <c r="N219" s="1">
        <v>-6776</v>
      </c>
      <c r="O219" t="s">
        <v>57</v>
      </c>
      <c r="P219" t="s">
        <v>26</v>
      </c>
    </row>
    <row r="220" spans="1:16" x14ac:dyDescent="0.2">
      <c r="B220" t="s">
        <v>51</v>
      </c>
      <c r="C220" t="s">
        <v>234</v>
      </c>
      <c r="D220">
        <v>53700010942</v>
      </c>
      <c r="H220" s="1"/>
      <c r="M220" s="1">
        <v>0</v>
      </c>
      <c r="N220" s="1">
        <v>-55497.19</v>
      </c>
      <c r="O220" t="s">
        <v>57</v>
      </c>
      <c r="P220" t="s">
        <v>26</v>
      </c>
    </row>
    <row r="221" spans="1:16" x14ac:dyDescent="0.2">
      <c r="B221" t="s">
        <v>51</v>
      </c>
      <c r="C221" t="s">
        <v>576</v>
      </c>
      <c r="D221">
        <v>53700009909</v>
      </c>
      <c r="H221" s="1"/>
      <c r="M221" s="1">
        <v>0</v>
      </c>
      <c r="N221" s="1">
        <v>-111436.8</v>
      </c>
      <c r="O221" t="s">
        <v>57</v>
      </c>
      <c r="P221" t="s">
        <v>26</v>
      </c>
    </row>
    <row r="222" spans="1:16" x14ac:dyDescent="0.2">
      <c r="B222" t="s">
        <v>51</v>
      </c>
      <c r="C222" t="s">
        <v>577</v>
      </c>
      <c r="D222">
        <v>53700009947</v>
      </c>
      <c r="H222" s="1"/>
      <c r="M222" s="1">
        <v>0</v>
      </c>
      <c r="N222" s="1">
        <v>-2500</v>
      </c>
      <c r="O222" t="s">
        <v>57</v>
      </c>
      <c r="P222" t="s">
        <v>26</v>
      </c>
    </row>
    <row r="223" spans="1:16" x14ac:dyDescent="0.2">
      <c r="B223" t="s">
        <v>51</v>
      </c>
      <c r="C223" t="s">
        <v>465</v>
      </c>
      <c r="D223">
        <v>53700006917</v>
      </c>
      <c r="H223" s="1"/>
      <c r="M223" s="1">
        <v>0</v>
      </c>
      <c r="N223" s="1">
        <v>-61680.03</v>
      </c>
      <c r="O223" t="s">
        <v>57</v>
      </c>
      <c r="P223" t="s">
        <v>26</v>
      </c>
    </row>
    <row r="224" spans="1:16" x14ac:dyDescent="0.2">
      <c r="B224" t="s">
        <v>51</v>
      </c>
      <c r="C224" t="s">
        <v>578</v>
      </c>
      <c r="D224">
        <v>53700014583</v>
      </c>
      <c r="H224" s="1"/>
      <c r="M224" s="1">
        <v>0</v>
      </c>
      <c r="N224" s="1">
        <v>-1000</v>
      </c>
      <c r="O224" t="s">
        <v>57</v>
      </c>
      <c r="P224" t="s">
        <v>26</v>
      </c>
    </row>
    <row r="225" spans="1:16" x14ac:dyDescent="0.2">
      <c r="B225" t="s">
        <v>51</v>
      </c>
      <c r="C225" t="s">
        <v>579</v>
      </c>
      <c r="D225">
        <v>65666000001</v>
      </c>
      <c r="H225" s="1"/>
      <c r="M225" s="1">
        <v>0</v>
      </c>
      <c r="N225" s="1">
        <v>-171538.28</v>
      </c>
      <c r="O225" t="s">
        <v>57</v>
      </c>
      <c r="P225" t="s">
        <v>26</v>
      </c>
    </row>
    <row r="226" spans="1:16" x14ac:dyDescent="0.2">
      <c r="A226" t="s">
        <v>16</v>
      </c>
      <c r="B226" t="s">
        <v>58</v>
      </c>
      <c r="C226" t="s">
        <v>580</v>
      </c>
      <c r="D226">
        <v>114204101</v>
      </c>
      <c r="E226" t="s">
        <v>256</v>
      </c>
      <c r="F226" t="s">
        <v>20</v>
      </c>
      <c r="G226" t="s">
        <v>21</v>
      </c>
      <c r="H226" s="1">
        <v>97.93</v>
      </c>
      <c r="I226" t="s">
        <v>581</v>
      </c>
      <c r="J226" t="s">
        <v>23</v>
      </c>
      <c r="L226" t="s">
        <v>24</v>
      </c>
      <c r="M226" s="1">
        <v>0</v>
      </c>
      <c r="N226" s="1">
        <v>0</v>
      </c>
      <c r="O226" t="s">
        <v>57</v>
      </c>
      <c r="P226" t="s">
        <v>26</v>
      </c>
    </row>
    <row r="227" spans="1:16" x14ac:dyDescent="0.2">
      <c r="A227" t="s">
        <v>16</v>
      </c>
      <c r="B227" t="s">
        <v>58</v>
      </c>
      <c r="C227" t="s">
        <v>90</v>
      </c>
      <c r="D227">
        <v>346607</v>
      </c>
      <c r="E227" t="s">
        <v>71</v>
      </c>
      <c r="F227" t="s">
        <v>20</v>
      </c>
      <c r="G227" t="s">
        <v>21</v>
      </c>
      <c r="H227" s="1">
        <v>252.61</v>
      </c>
      <c r="I227" t="s">
        <v>582</v>
      </c>
      <c r="J227" t="s">
        <v>23</v>
      </c>
      <c r="L227" t="s">
        <v>24</v>
      </c>
      <c r="M227" s="1">
        <v>0</v>
      </c>
      <c r="N227" s="1">
        <v>-20000</v>
      </c>
      <c r="O227" t="s">
        <v>57</v>
      </c>
      <c r="P227" t="s">
        <v>26</v>
      </c>
    </row>
    <row r="228" spans="1:16" x14ac:dyDescent="0.2">
      <c r="A228" t="s">
        <v>16</v>
      </c>
      <c r="B228" t="s">
        <v>58</v>
      </c>
      <c r="C228" t="s">
        <v>583</v>
      </c>
      <c r="D228">
        <v>110938903</v>
      </c>
      <c r="E228" t="s">
        <v>71</v>
      </c>
      <c r="F228" t="s">
        <v>20</v>
      </c>
      <c r="G228" t="s">
        <v>21</v>
      </c>
      <c r="H228" s="1">
        <v>418.69</v>
      </c>
      <c r="I228" t="s">
        <v>584</v>
      </c>
      <c r="J228" t="s">
        <v>23</v>
      </c>
      <c r="L228" t="s">
        <v>24</v>
      </c>
      <c r="M228" s="1">
        <v>0</v>
      </c>
      <c r="N228" s="1">
        <v>0</v>
      </c>
      <c r="O228" t="s">
        <v>57</v>
      </c>
      <c r="P228" t="s">
        <v>26</v>
      </c>
    </row>
    <row r="229" spans="1:16" x14ac:dyDescent="0.2">
      <c r="A229" t="s">
        <v>16</v>
      </c>
      <c r="B229" t="s">
        <v>58</v>
      </c>
      <c r="C229" t="s">
        <v>583</v>
      </c>
      <c r="D229">
        <v>110938904</v>
      </c>
      <c r="E229" t="s">
        <v>71</v>
      </c>
      <c r="F229" t="s">
        <v>585</v>
      </c>
      <c r="G229" t="s">
        <v>586</v>
      </c>
      <c r="H229" s="1">
        <v>70818.7</v>
      </c>
      <c r="I229" t="s">
        <v>584</v>
      </c>
      <c r="J229" t="s">
        <v>23</v>
      </c>
      <c r="L229" t="s">
        <v>24</v>
      </c>
      <c r="M229" s="1">
        <v>0</v>
      </c>
      <c r="N229" s="1">
        <v>0</v>
      </c>
      <c r="O229" t="s">
        <v>57</v>
      </c>
      <c r="P229" t="s">
        <v>26</v>
      </c>
    </row>
    <row r="230" spans="1:16" x14ac:dyDescent="0.2">
      <c r="A230" t="s">
        <v>16</v>
      </c>
      <c r="B230" t="s">
        <v>58</v>
      </c>
      <c r="C230" t="s">
        <v>587</v>
      </c>
      <c r="D230">
        <v>700070504</v>
      </c>
      <c r="E230" t="s">
        <v>71</v>
      </c>
      <c r="F230" t="s">
        <v>20</v>
      </c>
      <c r="G230" t="s">
        <v>21</v>
      </c>
      <c r="H230" s="1">
        <v>520.30999999999995</v>
      </c>
      <c r="I230" t="s">
        <v>588</v>
      </c>
      <c r="J230" t="s">
        <v>23</v>
      </c>
      <c r="L230" t="s">
        <v>24</v>
      </c>
      <c r="M230" s="1">
        <v>0</v>
      </c>
      <c r="N230" s="1">
        <v>0</v>
      </c>
      <c r="O230" t="s">
        <v>57</v>
      </c>
      <c r="P230" t="s">
        <v>26</v>
      </c>
    </row>
    <row r="231" spans="1:16" x14ac:dyDescent="0.2">
      <c r="A231" t="s">
        <v>16</v>
      </c>
      <c r="B231" t="s">
        <v>58</v>
      </c>
      <c r="C231" t="s">
        <v>589</v>
      </c>
      <c r="D231">
        <v>347054</v>
      </c>
      <c r="E231" t="s">
        <v>71</v>
      </c>
      <c r="F231" t="s">
        <v>20</v>
      </c>
      <c r="G231" t="s">
        <v>21</v>
      </c>
      <c r="H231" s="1">
        <v>1067.73</v>
      </c>
      <c r="I231" t="s">
        <v>590</v>
      </c>
      <c r="J231" t="s">
        <v>23</v>
      </c>
      <c r="L231" t="s">
        <v>24</v>
      </c>
      <c r="M231" s="1">
        <v>0</v>
      </c>
      <c r="N231" s="1">
        <v>0</v>
      </c>
      <c r="O231" t="s">
        <v>57</v>
      </c>
      <c r="P231" t="s">
        <v>26</v>
      </c>
    </row>
    <row r="232" spans="1:16" x14ac:dyDescent="0.2">
      <c r="A232" t="s">
        <v>16</v>
      </c>
      <c r="B232" t="s">
        <v>58</v>
      </c>
      <c r="C232" t="s">
        <v>591</v>
      </c>
      <c r="D232">
        <v>700070502</v>
      </c>
      <c r="E232" t="s">
        <v>71</v>
      </c>
      <c r="F232" t="s">
        <v>20</v>
      </c>
      <c r="G232" t="s">
        <v>21</v>
      </c>
      <c r="H232" s="1">
        <v>1864.43</v>
      </c>
      <c r="I232" t="s">
        <v>592</v>
      </c>
      <c r="J232" t="s">
        <v>23</v>
      </c>
      <c r="L232" t="s">
        <v>24</v>
      </c>
      <c r="M232" s="1">
        <v>0</v>
      </c>
      <c r="N232" s="1">
        <v>0</v>
      </c>
      <c r="O232" t="s">
        <v>57</v>
      </c>
      <c r="P232" t="s">
        <v>26</v>
      </c>
    </row>
    <row r="233" spans="1:16" x14ac:dyDescent="0.2">
      <c r="A233" t="s">
        <v>16</v>
      </c>
      <c r="B233" t="s">
        <v>58</v>
      </c>
      <c r="C233" t="s">
        <v>576</v>
      </c>
      <c r="D233">
        <v>114911201</v>
      </c>
      <c r="E233" t="s">
        <v>44</v>
      </c>
      <c r="F233" t="s">
        <v>20</v>
      </c>
      <c r="G233" t="s">
        <v>21</v>
      </c>
      <c r="H233" s="1">
        <v>32432.799999999999</v>
      </c>
      <c r="I233" t="s">
        <v>327</v>
      </c>
      <c r="J233" t="s">
        <v>23</v>
      </c>
      <c r="L233" t="s">
        <v>24</v>
      </c>
      <c r="M233" s="1">
        <v>0</v>
      </c>
      <c r="N233" s="1">
        <v>-75000</v>
      </c>
      <c r="O233" t="s">
        <v>57</v>
      </c>
      <c r="P233" t="s">
        <v>26</v>
      </c>
    </row>
    <row r="234" spans="1:16" x14ac:dyDescent="0.2">
      <c r="A234" t="s">
        <v>16</v>
      </c>
      <c r="B234" t="s">
        <v>58</v>
      </c>
      <c r="C234" t="s">
        <v>593</v>
      </c>
      <c r="D234">
        <v>113958401</v>
      </c>
      <c r="E234" t="s">
        <v>96</v>
      </c>
      <c r="F234" t="s">
        <v>20</v>
      </c>
      <c r="G234" t="s">
        <v>21</v>
      </c>
      <c r="H234" s="1">
        <v>0</v>
      </c>
      <c r="I234" t="s">
        <v>581</v>
      </c>
      <c r="J234" t="s">
        <v>23</v>
      </c>
      <c r="L234" t="s">
        <v>24</v>
      </c>
      <c r="M234" s="1">
        <v>0</v>
      </c>
      <c r="N234" s="1">
        <v>0</v>
      </c>
      <c r="O234" t="s">
        <v>57</v>
      </c>
      <c r="P234" t="s">
        <v>26</v>
      </c>
    </row>
    <row r="235" spans="1:16" x14ac:dyDescent="0.2">
      <c r="A235" t="s">
        <v>16</v>
      </c>
      <c r="B235" t="s">
        <v>58</v>
      </c>
      <c r="C235" t="s">
        <v>594</v>
      </c>
      <c r="D235">
        <v>346935</v>
      </c>
      <c r="E235" t="s">
        <v>96</v>
      </c>
      <c r="F235" t="s">
        <v>20</v>
      </c>
      <c r="G235" t="s">
        <v>21</v>
      </c>
      <c r="H235" s="1">
        <v>74455.399999999994</v>
      </c>
      <c r="I235" t="s">
        <v>595</v>
      </c>
      <c r="J235" t="s">
        <v>23</v>
      </c>
      <c r="L235" t="s">
        <v>24</v>
      </c>
      <c r="M235" s="1">
        <v>0</v>
      </c>
      <c r="N235" s="1">
        <v>0</v>
      </c>
      <c r="O235" t="s">
        <v>57</v>
      </c>
      <c r="P235" t="s">
        <v>26</v>
      </c>
    </row>
    <row r="236" spans="1:16" x14ac:dyDescent="0.2">
      <c r="A236" t="s">
        <v>16</v>
      </c>
      <c r="B236" t="s">
        <v>58</v>
      </c>
      <c r="C236" t="s">
        <v>596</v>
      </c>
      <c r="D236">
        <v>314794301</v>
      </c>
      <c r="E236" t="s">
        <v>31</v>
      </c>
      <c r="F236" t="s">
        <v>20</v>
      </c>
      <c r="G236" t="s">
        <v>21</v>
      </c>
      <c r="H236" s="1">
        <v>41</v>
      </c>
      <c r="I236" t="s">
        <v>597</v>
      </c>
      <c r="J236" t="s">
        <v>23</v>
      </c>
      <c r="L236" t="s">
        <v>24</v>
      </c>
      <c r="M236" s="1">
        <v>0</v>
      </c>
      <c r="N236" s="1">
        <v>0</v>
      </c>
      <c r="O236" t="s">
        <v>57</v>
      </c>
      <c r="P236" t="s">
        <v>26</v>
      </c>
    </row>
    <row r="237" spans="1:16" x14ac:dyDescent="0.2">
      <c r="A237" t="s">
        <v>16</v>
      </c>
      <c r="B237" t="s">
        <v>58</v>
      </c>
      <c r="C237" t="s">
        <v>598</v>
      </c>
      <c r="D237">
        <v>314794501</v>
      </c>
      <c r="E237" t="s">
        <v>31</v>
      </c>
      <c r="F237" t="s">
        <v>20</v>
      </c>
      <c r="G237" t="s">
        <v>21</v>
      </c>
      <c r="H237" s="1">
        <v>41</v>
      </c>
      <c r="I237" t="s">
        <v>597</v>
      </c>
      <c r="J237" t="s">
        <v>23</v>
      </c>
      <c r="L237" t="s">
        <v>24</v>
      </c>
      <c r="M237" s="1">
        <v>0</v>
      </c>
      <c r="N237" s="1">
        <v>0</v>
      </c>
      <c r="O237" t="s">
        <v>57</v>
      </c>
      <c r="P237" t="s">
        <v>26</v>
      </c>
    </row>
    <row r="238" spans="1:16" x14ac:dyDescent="0.2">
      <c r="A238" t="s">
        <v>16</v>
      </c>
      <c r="B238" t="s">
        <v>58</v>
      </c>
      <c r="C238" t="s">
        <v>599</v>
      </c>
      <c r="D238">
        <v>314794401</v>
      </c>
      <c r="E238" t="s">
        <v>31</v>
      </c>
      <c r="F238" t="s">
        <v>20</v>
      </c>
      <c r="G238" t="s">
        <v>21</v>
      </c>
      <c r="H238" s="1">
        <v>41</v>
      </c>
      <c r="I238" t="s">
        <v>597</v>
      </c>
      <c r="J238" t="s">
        <v>23</v>
      </c>
      <c r="L238" t="s">
        <v>24</v>
      </c>
      <c r="M238" s="1">
        <v>0</v>
      </c>
      <c r="N238" s="1">
        <v>0</v>
      </c>
      <c r="O238" t="s">
        <v>57</v>
      </c>
      <c r="P238" t="s">
        <v>26</v>
      </c>
    </row>
    <row r="239" spans="1:16" x14ac:dyDescent="0.2">
      <c r="A239" t="s">
        <v>16</v>
      </c>
      <c r="B239" t="s">
        <v>58</v>
      </c>
      <c r="C239" t="s">
        <v>600</v>
      </c>
      <c r="D239">
        <v>346058</v>
      </c>
      <c r="E239" t="s">
        <v>31</v>
      </c>
      <c r="F239" t="s">
        <v>20</v>
      </c>
      <c r="G239" t="s">
        <v>21</v>
      </c>
      <c r="H239" s="1">
        <v>382.7</v>
      </c>
      <c r="I239" t="s">
        <v>601</v>
      </c>
      <c r="J239" t="s">
        <v>23</v>
      </c>
      <c r="L239" t="s">
        <v>24</v>
      </c>
      <c r="M239" s="1">
        <v>0</v>
      </c>
      <c r="N239" s="1">
        <v>-4500</v>
      </c>
      <c r="O239" t="s">
        <v>57</v>
      </c>
      <c r="P239" t="s">
        <v>26</v>
      </c>
    </row>
    <row r="240" spans="1:16" x14ac:dyDescent="0.2">
      <c r="B240" t="s">
        <v>51</v>
      </c>
      <c r="C240" t="s">
        <v>602</v>
      </c>
      <c r="D240">
        <v>53700014584</v>
      </c>
      <c r="H240" s="1"/>
      <c r="M240" s="1">
        <v>0</v>
      </c>
      <c r="N240" s="1">
        <v>-27129</v>
      </c>
      <c r="O240" t="s">
        <v>57</v>
      </c>
      <c r="P240" t="s">
        <v>26</v>
      </c>
    </row>
    <row r="241" spans="1:16" x14ac:dyDescent="0.2">
      <c r="A241" t="s">
        <v>603</v>
      </c>
      <c r="B241" t="s">
        <v>604</v>
      </c>
      <c r="C241" t="s">
        <v>605</v>
      </c>
      <c r="D241" t="s">
        <v>606</v>
      </c>
      <c r="E241" t="s">
        <v>192</v>
      </c>
      <c r="F241" t="s">
        <v>607</v>
      </c>
      <c r="G241" t="s">
        <v>608</v>
      </c>
      <c r="H241" s="1">
        <v>232320</v>
      </c>
      <c r="I241" t="s">
        <v>609</v>
      </c>
      <c r="J241" t="s">
        <v>148</v>
      </c>
      <c r="L241" t="s">
        <v>603</v>
      </c>
      <c r="M241" s="1">
        <v>0</v>
      </c>
      <c r="N241" s="1">
        <v>0</v>
      </c>
      <c r="O241" t="s">
        <v>610</v>
      </c>
      <c r="P241" t="s">
        <v>26</v>
      </c>
    </row>
    <row r="242" spans="1:16" x14ac:dyDescent="0.2">
      <c r="A242" t="s">
        <v>603</v>
      </c>
      <c r="B242" t="s">
        <v>604</v>
      </c>
      <c r="C242" t="s">
        <v>240</v>
      </c>
      <c r="D242">
        <v>6196</v>
      </c>
      <c r="E242" t="s">
        <v>38</v>
      </c>
      <c r="F242" t="s">
        <v>607</v>
      </c>
      <c r="G242" t="s">
        <v>608</v>
      </c>
      <c r="H242" s="1">
        <v>55869.9</v>
      </c>
      <c r="I242" t="s">
        <v>611</v>
      </c>
      <c r="J242" t="s">
        <v>148</v>
      </c>
      <c r="L242" t="s">
        <v>603</v>
      </c>
      <c r="M242" s="1">
        <v>0</v>
      </c>
      <c r="N242" s="1">
        <v>0</v>
      </c>
      <c r="O242" t="s">
        <v>610</v>
      </c>
      <c r="P242" t="s">
        <v>26</v>
      </c>
    </row>
    <row r="243" spans="1:16" x14ac:dyDescent="0.2">
      <c r="A243" t="s">
        <v>612</v>
      </c>
      <c r="B243" t="s">
        <v>613</v>
      </c>
      <c r="C243" t="s">
        <v>614</v>
      </c>
      <c r="D243">
        <v>8534</v>
      </c>
      <c r="E243" t="s">
        <v>203</v>
      </c>
      <c r="F243" t="s">
        <v>298</v>
      </c>
      <c r="G243" t="s">
        <v>615</v>
      </c>
      <c r="H243" s="1">
        <v>3941</v>
      </c>
      <c r="I243" t="s">
        <v>616</v>
      </c>
      <c r="M243" s="1">
        <v>0</v>
      </c>
      <c r="N243" s="1">
        <v>0</v>
      </c>
      <c r="O243" t="s">
        <v>301</v>
      </c>
      <c r="P243" t="s">
        <v>26</v>
      </c>
    </row>
    <row r="244" spans="1:16" x14ac:dyDescent="0.2">
      <c r="A244" t="s">
        <v>612</v>
      </c>
      <c r="B244" t="s">
        <v>613</v>
      </c>
      <c r="C244" t="s">
        <v>617</v>
      </c>
      <c r="D244">
        <v>7722</v>
      </c>
      <c r="E244" t="s">
        <v>203</v>
      </c>
      <c r="F244" t="s">
        <v>298</v>
      </c>
      <c r="G244" t="s">
        <v>618</v>
      </c>
      <c r="H244" s="1">
        <v>306.33</v>
      </c>
      <c r="I244" t="s">
        <v>581</v>
      </c>
      <c r="M244" s="1">
        <v>0</v>
      </c>
      <c r="N244" s="1">
        <v>0</v>
      </c>
      <c r="O244" t="s">
        <v>301</v>
      </c>
      <c r="P244" t="s">
        <v>26</v>
      </c>
    </row>
    <row r="245" spans="1:16" x14ac:dyDescent="0.2">
      <c r="A245" t="s">
        <v>612</v>
      </c>
      <c r="B245" t="s">
        <v>619</v>
      </c>
      <c r="C245" t="s">
        <v>614</v>
      </c>
      <c r="D245">
        <v>8533</v>
      </c>
      <c r="E245" t="s">
        <v>203</v>
      </c>
      <c r="F245" t="s">
        <v>298</v>
      </c>
      <c r="G245" t="s">
        <v>618</v>
      </c>
      <c r="H245" s="1">
        <v>5994</v>
      </c>
      <c r="I245" t="s">
        <v>581</v>
      </c>
      <c r="M245" s="1">
        <v>0</v>
      </c>
      <c r="N245" s="1">
        <v>0</v>
      </c>
      <c r="O245" t="s">
        <v>620</v>
      </c>
      <c r="P245" t="s">
        <v>26</v>
      </c>
    </row>
    <row r="246" spans="1:16" x14ac:dyDescent="0.2">
      <c r="A246" t="s">
        <v>612</v>
      </c>
      <c r="B246" t="s">
        <v>619</v>
      </c>
      <c r="C246" t="s">
        <v>617</v>
      </c>
      <c r="D246">
        <v>7721</v>
      </c>
      <c r="E246" t="s">
        <v>203</v>
      </c>
      <c r="F246" t="s">
        <v>298</v>
      </c>
      <c r="G246" t="s">
        <v>621</v>
      </c>
      <c r="H246" s="1">
        <v>1392.76</v>
      </c>
      <c r="I246" t="s">
        <v>581</v>
      </c>
      <c r="M246" s="1">
        <v>0</v>
      </c>
      <c r="N246" s="1">
        <v>0</v>
      </c>
      <c r="O246" t="s">
        <v>620</v>
      </c>
      <c r="P246" t="s">
        <v>26</v>
      </c>
    </row>
    <row r="247" spans="1:16" x14ac:dyDescent="0.2">
      <c r="A247" t="s">
        <v>27</v>
      </c>
      <c r="B247" t="s">
        <v>28</v>
      </c>
      <c r="C247" t="s">
        <v>622</v>
      </c>
      <c r="D247">
        <v>230466</v>
      </c>
      <c r="E247" t="s">
        <v>192</v>
      </c>
      <c r="F247" t="s">
        <v>249</v>
      </c>
      <c r="G247" t="s">
        <v>250</v>
      </c>
      <c r="H247" s="1">
        <v>77541.600000000006</v>
      </c>
      <c r="I247" t="s">
        <v>623</v>
      </c>
      <c r="J247" t="s">
        <v>83</v>
      </c>
      <c r="L247" t="s">
        <v>27</v>
      </c>
      <c r="M247" s="1">
        <v>0</v>
      </c>
      <c r="N247" s="1">
        <v>0</v>
      </c>
      <c r="O247" t="s">
        <v>36</v>
      </c>
      <c r="P247" t="s">
        <v>26</v>
      </c>
    </row>
    <row r="248" spans="1:16" x14ac:dyDescent="0.2">
      <c r="A248" t="s">
        <v>27</v>
      </c>
      <c r="B248" t="s">
        <v>28</v>
      </c>
      <c r="C248" t="s">
        <v>624</v>
      </c>
      <c r="D248">
        <v>230467</v>
      </c>
      <c r="E248" t="s">
        <v>192</v>
      </c>
      <c r="F248" t="s">
        <v>249</v>
      </c>
      <c r="G248" t="s">
        <v>250</v>
      </c>
      <c r="H248" s="1">
        <v>77541.600000000006</v>
      </c>
      <c r="I248" t="s">
        <v>623</v>
      </c>
      <c r="J248" t="s">
        <v>83</v>
      </c>
      <c r="L248" t="s">
        <v>27</v>
      </c>
      <c r="M248" s="1">
        <v>0</v>
      </c>
      <c r="N248" s="1">
        <v>0</v>
      </c>
      <c r="O248" t="s">
        <v>36</v>
      </c>
      <c r="P248" t="s">
        <v>26</v>
      </c>
    </row>
    <row r="249" spans="1:16" x14ac:dyDescent="0.2">
      <c r="A249" t="s">
        <v>27</v>
      </c>
      <c r="B249" t="s">
        <v>28</v>
      </c>
      <c r="C249" t="s">
        <v>625</v>
      </c>
      <c r="D249">
        <v>231959</v>
      </c>
      <c r="E249" t="s">
        <v>192</v>
      </c>
      <c r="F249" t="s">
        <v>249</v>
      </c>
      <c r="G249" t="s">
        <v>250</v>
      </c>
      <c r="H249" s="1">
        <v>146022</v>
      </c>
      <c r="I249" t="s">
        <v>626</v>
      </c>
      <c r="J249" t="s">
        <v>83</v>
      </c>
      <c r="L249" t="s">
        <v>27</v>
      </c>
      <c r="M249" s="1">
        <v>0</v>
      </c>
      <c r="N249" s="1">
        <v>0</v>
      </c>
      <c r="O249" t="s">
        <v>36</v>
      </c>
      <c r="P249" t="s">
        <v>26</v>
      </c>
    </row>
    <row r="250" spans="1:16" x14ac:dyDescent="0.2">
      <c r="A250" t="s">
        <v>27</v>
      </c>
      <c r="B250" t="s">
        <v>28</v>
      </c>
      <c r="C250" t="s">
        <v>627</v>
      </c>
      <c r="D250" t="s">
        <v>628</v>
      </c>
      <c r="E250" t="s">
        <v>192</v>
      </c>
      <c r="F250" t="s">
        <v>249</v>
      </c>
      <c r="G250" t="s">
        <v>250</v>
      </c>
      <c r="H250" s="1">
        <v>49000</v>
      </c>
      <c r="I250" t="s">
        <v>629</v>
      </c>
      <c r="J250" t="s">
        <v>83</v>
      </c>
      <c r="L250" t="s">
        <v>27</v>
      </c>
      <c r="M250" s="1">
        <v>0</v>
      </c>
      <c r="N250" s="1">
        <v>0</v>
      </c>
      <c r="O250" t="s">
        <v>36</v>
      </c>
      <c r="P250" t="s">
        <v>26</v>
      </c>
    </row>
    <row r="251" spans="1:16" x14ac:dyDescent="0.2">
      <c r="A251" t="s">
        <v>27</v>
      </c>
      <c r="B251" t="s">
        <v>28</v>
      </c>
      <c r="C251" t="s">
        <v>630</v>
      </c>
      <c r="D251">
        <v>231947</v>
      </c>
      <c r="E251" t="s">
        <v>67</v>
      </c>
      <c r="F251" t="s">
        <v>249</v>
      </c>
      <c r="G251" t="s">
        <v>250</v>
      </c>
      <c r="H251" s="1">
        <v>36992.199999999997</v>
      </c>
      <c r="I251" t="s">
        <v>626</v>
      </c>
      <c r="J251" t="s">
        <v>83</v>
      </c>
      <c r="L251" t="s">
        <v>27</v>
      </c>
      <c r="M251" s="1">
        <v>0</v>
      </c>
      <c r="N251" s="1">
        <v>0</v>
      </c>
      <c r="O251" t="s">
        <v>36</v>
      </c>
      <c r="P251" t="s">
        <v>26</v>
      </c>
    </row>
    <row r="252" spans="1:16" x14ac:dyDescent="0.2">
      <c r="A252" t="s">
        <v>27</v>
      </c>
      <c r="B252" t="s">
        <v>28</v>
      </c>
      <c r="C252" t="s">
        <v>349</v>
      </c>
      <c r="D252">
        <v>231958</v>
      </c>
      <c r="E252" t="s">
        <v>311</v>
      </c>
      <c r="F252" t="s">
        <v>249</v>
      </c>
      <c r="G252" t="s">
        <v>250</v>
      </c>
      <c r="H252" s="1">
        <v>82745.8</v>
      </c>
      <c r="I252" t="s">
        <v>631</v>
      </c>
      <c r="J252" t="s">
        <v>83</v>
      </c>
      <c r="L252" t="s">
        <v>27</v>
      </c>
      <c r="M252" s="1">
        <v>0</v>
      </c>
      <c r="N252" s="1">
        <v>0</v>
      </c>
      <c r="O252" t="s">
        <v>36</v>
      </c>
      <c r="P252" t="s">
        <v>26</v>
      </c>
    </row>
    <row r="253" spans="1:16" x14ac:dyDescent="0.2">
      <c r="A253" t="s">
        <v>27</v>
      </c>
      <c r="B253" t="s">
        <v>28</v>
      </c>
      <c r="C253" t="s">
        <v>156</v>
      </c>
      <c r="D253">
        <v>231083</v>
      </c>
      <c r="E253" t="s">
        <v>38</v>
      </c>
      <c r="F253" t="s">
        <v>97</v>
      </c>
      <c r="G253" t="s">
        <v>98</v>
      </c>
      <c r="H253" s="1">
        <v>195776</v>
      </c>
      <c r="I253" t="s">
        <v>632</v>
      </c>
      <c r="J253" t="s">
        <v>83</v>
      </c>
      <c r="L253" t="s">
        <v>27</v>
      </c>
      <c r="M253" s="1">
        <v>0</v>
      </c>
      <c r="N253" s="1">
        <v>0</v>
      </c>
      <c r="O253" t="s">
        <v>36</v>
      </c>
      <c r="P253" t="s">
        <v>26</v>
      </c>
    </row>
    <row r="254" spans="1:16" x14ac:dyDescent="0.2">
      <c r="A254" t="s">
        <v>27</v>
      </c>
      <c r="B254" t="s">
        <v>28</v>
      </c>
      <c r="C254" t="s">
        <v>633</v>
      </c>
      <c r="D254">
        <v>231918</v>
      </c>
      <c r="E254" t="s">
        <v>38</v>
      </c>
      <c r="F254" t="s">
        <v>249</v>
      </c>
      <c r="G254" t="s">
        <v>250</v>
      </c>
      <c r="H254" s="1">
        <v>43806.6</v>
      </c>
      <c r="I254" t="s">
        <v>634</v>
      </c>
      <c r="J254" t="s">
        <v>83</v>
      </c>
      <c r="L254" t="s">
        <v>27</v>
      </c>
      <c r="M254" s="1">
        <v>0</v>
      </c>
      <c r="N254" s="1">
        <v>0</v>
      </c>
      <c r="O254" t="s">
        <v>36</v>
      </c>
      <c r="P254" t="s">
        <v>26</v>
      </c>
    </row>
    <row r="255" spans="1:16" x14ac:dyDescent="0.2">
      <c r="A255" t="s">
        <v>27</v>
      </c>
      <c r="B255" t="s">
        <v>28</v>
      </c>
      <c r="C255" t="s">
        <v>635</v>
      </c>
      <c r="D255">
        <v>230846</v>
      </c>
      <c r="E255" t="s">
        <v>44</v>
      </c>
      <c r="F255" t="s">
        <v>97</v>
      </c>
      <c r="G255" t="s">
        <v>98</v>
      </c>
      <c r="H255" s="1">
        <v>404277</v>
      </c>
      <c r="I255" t="s">
        <v>636</v>
      </c>
      <c r="J255" t="s">
        <v>83</v>
      </c>
      <c r="L255" t="s">
        <v>27</v>
      </c>
      <c r="M255" s="1">
        <v>0</v>
      </c>
      <c r="N255" s="1">
        <v>0</v>
      </c>
      <c r="O255" t="s">
        <v>36</v>
      </c>
      <c r="P255" t="s">
        <v>26</v>
      </c>
    </row>
    <row r="256" spans="1:16" x14ac:dyDescent="0.2">
      <c r="A256" t="s">
        <v>27</v>
      </c>
      <c r="B256" t="s">
        <v>28</v>
      </c>
      <c r="C256" t="s">
        <v>637</v>
      </c>
      <c r="D256">
        <v>230468</v>
      </c>
      <c r="E256" t="s">
        <v>44</v>
      </c>
      <c r="F256" t="s">
        <v>249</v>
      </c>
      <c r="G256" t="s">
        <v>250</v>
      </c>
      <c r="H256" s="1">
        <v>145212</v>
      </c>
      <c r="I256" t="s">
        <v>638</v>
      </c>
      <c r="J256" t="s">
        <v>83</v>
      </c>
      <c r="L256" t="s">
        <v>27</v>
      </c>
      <c r="M256" s="1">
        <v>0</v>
      </c>
      <c r="N256" s="1">
        <v>0</v>
      </c>
      <c r="O256" t="s">
        <v>36</v>
      </c>
      <c r="P256" t="s">
        <v>26</v>
      </c>
    </row>
    <row r="257" spans="1:16" x14ac:dyDescent="0.2">
      <c r="A257" t="s">
        <v>27</v>
      </c>
      <c r="B257" t="s">
        <v>28</v>
      </c>
      <c r="C257" t="s">
        <v>42</v>
      </c>
      <c r="D257">
        <v>72439</v>
      </c>
      <c r="E257" t="s">
        <v>44</v>
      </c>
      <c r="F257" t="s">
        <v>639</v>
      </c>
      <c r="G257" t="s">
        <v>640</v>
      </c>
      <c r="H257" s="1">
        <v>1025760</v>
      </c>
      <c r="I257" t="s">
        <v>641</v>
      </c>
      <c r="J257" t="s">
        <v>83</v>
      </c>
      <c r="L257" t="s">
        <v>27</v>
      </c>
      <c r="M257" s="1">
        <v>0</v>
      </c>
      <c r="N257" s="1">
        <v>0</v>
      </c>
      <c r="O257" t="s">
        <v>36</v>
      </c>
      <c r="P257" t="s">
        <v>26</v>
      </c>
    </row>
    <row r="258" spans="1:16" x14ac:dyDescent="0.2">
      <c r="A258" t="s">
        <v>27</v>
      </c>
      <c r="B258" t="s">
        <v>28</v>
      </c>
      <c r="C258" t="s">
        <v>126</v>
      </c>
      <c r="D258">
        <v>230843</v>
      </c>
      <c r="E258" t="s">
        <v>128</v>
      </c>
      <c r="F258" t="s">
        <v>642</v>
      </c>
      <c r="G258" t="s">
        <v>643</v>
      </c>
      <c r="H258" s="1">
        <v>493096</v>
      </c>
      <c r="I258" t="s">
        <v>644</v>
      </c>
      <c r="J258" t="s">
        <v>83</v>
      </c>
      <c r="L258" t="s">
        <v>27</v>
      </c>
      <c r="M258" s="1">
        <v>0</v>
      </c>
      <c r="N258" s="1">
        <v>0</v>
      </c>
      <c r="O258" t="s">
        <v>36</v>
      </c>
      <c r="P258" t="s">
        <v>26</v>
      </c>
    </row>
    <row r="259" spans="1:16" x14ac:dyDescent="0.2">
      <c r="A259" t="s">
        <v>27</v>
      </c>
      <c r="B259" t="s">
        <v>28</v>
      </c>
      <c r="C259" t="s">
        <v>645</v>
      </c>
      <c r="D259">
        <v>222373</v>
      </c>
      <c r="E259" t="s">
        <v>75</v>
      </c>
      <c r="F259" t="s">
        <v>639</v>
      </c>
      <c r="G259" t="s">
        <v>640</v>
      </c>
      <c r="H259" s="1">
        <v>527745</v>
      </c>
      <c r="I259" t="s">
        <v>646</v>
      </c>
      <c r="J259" t="s">
        <v>83</v>
      </c>
      <c r="L259" t="s">
        <v>27</v>
      </c>
      <c r="M259" s="1">
        <v>0</v>
      </c>
      <c r="N259" s="1">
        <v>0</v>
      </c>
      <c r="O259" t="s">
        <v>36</v>
      </c>
      <c r="P259" t="s">
        <v>26</v>
      </c>
    </row>
    <row r="260" spans="1:16" x14ac:dyDescent="0.2">
      <c r="A260" t="s">
        <v>27</v>
      </c>
      <c r="B260" t="s">
        <v>28</v>
      </c>
      <c r="C260" t="s">
        <v>647</v>
      </c>
      <c r="D260">
        <v>229326</v>
      </c>
      <c r="E260" t="s">
        <v>75</v>
      </c>
      <c r="F260" t="s">
        <v>648</v>
      </c>
      <c r="G260" t="s">
        <v>649</v>
      </c>
      <c r="H260" s="1">
        <v>210212</v>
      </c>
      <c r="I260" t="s">
        <v>650</v>
      </c>
      <c r="J260" t="s">
        <v>83</v>
      </c>
      <c r="L260" t="s">
        <v>27</v>
      </c>
      <c r="M260" s="1">
        <v>0</v>
      </c>
      <c r="N260" s="1">
        <v>0</v>
      </c>
      <c r="O260" t="s">
        <v>36</v>
      </c>
      <c r="P260" t="s">
        <v>26</v>
      </c>
    </row>
    <row r="261" spans="1:16" x14ac:dyDescent="0.2">
      <c r="A261" t="s">
        <v>27</v>
      </c>
      <c r="B261" t="s">
        <v>28</v>
      </c>
      <c r="C261" t="s">
        <v>651</v>
      </c>
      <c r="D261">
        <v>231954</v>
      </c>
      <c r="E261" t="s">
        <v>96</v>
      </c>
      <c r="F261" t="s">
        <v>249</v>
      </c>
      <c r="G261" t="s">
        <v>250</v>
      </c>
      <c r="H261" s="1">
        <v>29204.400000000001</v>
      </c>
      <c r="I261" t="s">
        <v>652</v>
      </c>
      <c r="J261" t="s">
        <v>83</v>
      </c>
      <c r="L261" t="s">
        <v>27</v>
      </c>
      <c r="M261" s="1">
        <v>0</v>
      </c>
      <c r="N261" s="1">
        <v>0</v>
      </c>
      <c r="O261" t="s">
        <v>36</v>
      </c>
      <c r="P261" t="s">
        <v>26</v>
      </c>
    </row>
    <row r="262" spans="1:16" x14ac:dyDescent="0.2">
      <c r="A262" t="s">
        <v>27</v>
      </c>
      <c r="B262" t="s">
        <v>28</v>
      </c>
      <c r="C262" t="s">
        <v>653</v>
      </c>
      <c r="D262">
        <v>231931</v>
      </c>
      <c r="E262" t="s">
        <v>96</v>
      </c>
      <c r="F262" t="s">
        <v>249</v>
      </c>
      <c r="G262" t="s">
        <v>250</v>
      </c>
      <c r="H262" s="1">
        <v>58408.800000000003</v>
      </c>
      <c r="I262" t="s">
        <v>654</v>
      </c>
      <c r="J262" t="s">
        <v>83</v>
      </c>
      <c r="L262" t="s">
        <v>27</v>
      </c>
      <c r="M262" s="1">
        <v>0</v>
      </c>
      <c r="N262" s="1">
        <v>0</v>
      </c>
      <c r="O262" t="s">
        <v>36</v>
      </c>
      <c r="P262" t="s">
        <v>26</v>
      </c>
    </row>
    <row r="263" spans="1:16" x14ac:dyDescent="0.2">
      <c r="A263" t="s">
        <v>27</v>
      </c>
      <c r="B263" t="s">
        <v>28</v>
      </c>
      <c r="C263" t="s">
        <v>655</v>
      </c>
      <c r="D263">
        <v>231909</v>
      </c>
      <c r="E263" t="s">
        <v>203</v>
      </c>
      <c r="F263" t="s">
        <v>249</v>
      </c>
      <c r="G263" t="s">
        <v>250</v>
      </c>
      <c r="H263" s="1">
        <v>48674</v>
      </c>
      <c r="I263" t="s">
        <v>656</v>
      </c>
      <c r="J263" t="s">
        <v>83</v>
      </c>
      <c r="L263" t="s">
        <v>27</v>
      </c>
      <c r="M263" s="1">
        <v>0</v>
      </c>
      <c r="N263" s="1">
        <v>0</v>
      </c>
      <c r="O263" t="s">
        <v>36</v>
      </c>
      <c r="P263" t="s">
        <v>26</v>
      </c>
    </row>
    <row r="264" spans="1:16" x14ac:dyDescent="0.2">
      <c r="A264" t="s">
        <v>1700</v>
      </c>
      <c r="B264" t="s">
        <v>657</v>
      </c>
      <c r="C264" t="s">
        <v>658</v>
      </c>
      <c r="D264" t="s">
        <v>659</v>
      </c>
      <c r="E264" t="s">
        <v>192</v>
      </c>
      <c r="F264" t="s">
        <v>660</v>
      </c>
      <c r="G264" t="s">
        <v>661</v>
      </c>
      <c r="H264" s="1">
        <v>39380.400000000001</v>
      </c>
      <c r="I264" t="s">
        <v>662</v>
      </c>
      <c r="J264" t="s">
        <v>148</v>
      </c>
      <c r="L264" t="s">
        <v>663</v>
      </c>
      <c r="M264" s="1">
        <v>0</v>
      </c>
      <c r="N264" s="1">
        <v>0</v>
      </c>
      <c r="O264" t="s">
        <v>261</v>
      </c>
      <c r="P264" t="s">
        <v>26</v>
      </c>
    </row>
    <row r="265" spans="1:16" x14ac:dyDescent="0.2">
      <c r="A265" t="s">
        <v>295</v>
      </c>
      <c r="B265" t="s">
        <v>296</v>
      </c>
      <c r="C265" t="s">
        <v>664</v>
      </c>
      <c r="D265">
        <v>12572</v>
      </c>
      <c r="E265" t="s">
        <v>38</v>
      </c>
      <c r="F265" t="s">
        <v>665</v>
      </c>
      <c r="G265" t="s">
        <v>666</v>
      </c>
      <c r="H265" s="1">
        <v>24974.1</v>
      </c>
      <c r="I265" t="s">
        <v>581</v>
      </c>
      <c r="J265" t="s">
        <v>667</v>
      </c>
      <c r="L265" t="s">
        <v>668</v>
      </c>
      <c r="M265" s="1">
        <v>0</v>
      </c>
      <c r="N265" s="1">
        <v>0</v>
      </c>
      <c r="O265" t="s">
        <v>301</v>
      </c>
      <c r="P265" t="s">
        <v>26</v>
      </c>
    </row>
    <row r="266" spans="1:16" x14ac:dyDescent="0.2">
      <c r="A266" t="s">
        <v>669</v>
      </c>
      <c r="B266" t="s">
        <v>669</v>
      </c>
      <c r="C266" t="s">
        <v>52</v>
      </c>
      <c r="D266" t="s">
        <v>670</v>
      </c>
      <c r="E266" t="s">
        <v>44</v>
      </c>
      <c r="F266" t="s">
        <v>671</v>
      </c>
      <c r="G266" t="s">
        <v>672</v>
      </c>
      <c r="H266" s="1">
        <v>69969</v>
      </c>
      <c r="I266" t="s">
        <v>673</v>
      </c>
      <c r="J266" t="s">
        <v>674</v>
      </c>
      <c r="L266" t="s">
        <v>675</v>
      </c>
      <c r="M266" s="1">
        <v>0</v>
      </c>
      <c r="N266" s="1">
        <v>0</v>
      </c>
      <c r="O266" t="s">
        <v>121</v>
      </c>
      <c r="P266" t="s">
        <v>26</v>
      </c>
    </row>
    <row r="267" spans="1:16" x14ac:dyDescent="0.2">
      <c r="A267" t="s">
        <v>278</v>
      </c>
      <c r="B267" t="s">
        <v>279</v>
      </c>
      <c r="C267" t="s">
        <v>676</v>
      </c>
      <c r="D267" t="s">
        <v>677</v>
      </c>
      <c r="E267" t="s">
        <v>38</v>
      </c>
      <c r="F267" t="s">
        <v>45</v>
      </c>
      <c r="G267" t="s">
        <v>46</v>
      </c>
      <c r="H267" s="1">
        <v>15000</v>
      </c>
      <c r="I267" t="s">
        <v>678</v>
      </c>
      <c r="J267" t="s">
        <v>23</v>
      </c>
      <c r="L267" t="s">
        <v>48</v>
      </c>
      <c r="M267" s="1">
        <v>0</v>
      </c>
      <c r="N267" s="1">
        <v>0</v>
      </c>
      <c r="O267" t="s">
        <v>283</v>
      </c>
      <c r="P267" t="s">
        <v>26</v>
      </c>
    </row>
    <row r="268" spans="1:16" x14ac:dyDescent="0.2">
      <c r="A268" t="s">
        <v>278</v>
      </c>
      <c r="B268" t="s">
        <v>279</v>
      </c>
      <c r="C268" t="s">
        <v>676</v>
      </c>
      <c r="D268" t="s">
        <v>679</v>
      </c>
      <c r="E268" t="s">
        <v>38</v>
      </c>
      <c r="F268" t="s">
        <v>45</v>
      </c>
      <c r="G268" t="s">
        <v>46</v>
      </c>
      <c r="H268" s="1">
        <v>40000</v>
      </c>
      <c r="I268" t="s">
        <v>678</v>
      </c>
      <c r="J268" t="s">
        <v>23</v>
      </c>
      <c r="L268" t="s">
        <v>48</v>
      </c>
      <c r="M268" s="1">
        <v>0</v>
      </c>
      <c r="N268" s="1">
        <v>0</v>
      </c>
      <c r="O268" t="s">
        <v>283</v>
      </c>
      <c r="P268" t="s">
        <v>26</v>
      </c>
    </row>
    <row r="269" spans="1:16" x14ac:dyDescent="0.2">
      <c r="A269" t="s">
        <v>278</v>
      </c>
      <c r="B269" t="s">
        <v>279</v>
      </c>
      <c r="C269" t="s">
        <v>680</v>
      </c>
      <c r="D269" t="s">
        <v>681</v>
      </c>
      <c r="E269" t="s">
        <v>38</v>
      </c>
      <c r="F269" t="s">
        <v>45</v>
      </c>
      <c r="G269" t="s">
        <v>46</v>
      </c>
      <c r="H269" s="1">
        <v>43200</v>
      </c>
      <c r="I269" t="s">
        <v>682</v>
      </c>
      <c r="J269" t="s">
        <v>23</v>
      </c>
      <c r="L269" t="s">
        <v>48</v>
      </c>
      <c r="M269" s="1">
        <v>0</v>
      </c>
      <c r="N269" s="1">
        <v>0</v>
      </c>
      <c r="O269" t="s">
        <v>283</v>
      </c>
      <c r="P269" t="s">
        <v>26</v>
      </c>
    </row>
    <row r="270" spans="1:16" x14ac:dyDescent="0.2">
      <c r="A270" t="s">
        <v>278</v>
      </c>
      <c r="B270" t="s">
        <v>279</v>
      </c>
      <c r="C270" t="s">
        <v>683</v>
      </c>
      <c r="D270" t="s">
        <v>684</v>
      </c>
      <c r="E270" t="s">
        <v>75</v>
      </c>
      <c r="F270" t="s">
        <v>45</v>
      </c>
      <c r="G270" t="s">
        <v>46</v>
      </c>
      <c r="H270" s="1">
        <v>17589</v>
      </c>
      <c r="I270" t="s">
        <v>685</v>
      </c>
      <c r="J270" t="s">
        <v>23</v>
      </c>
      <c r="L270" t="s">
        <v>48</v>
      </c>
      <c r="M270" s="1">
        <v>0</v>
      </c>
      <c r="N270" s="1">
        <v>0</v>
      </c>
      <c r="O270" t="s">
        <v>283</v>
      </c>
      <c r="P270" t="s">
        <v>26</v>
      </c>
    </row>
    <row r="271" spans="1:16" x14ac:dyDescent="0.2">
      <c r="A271" t="s">
        <v>278</v>
      </c>
      <c r="B271" t="s">
        <v>279</v>
      </c>
      <c r="C271" t="s">
        <v>529</v>
      </c>
      <c r="D271" t="s">
        <v>686</v>
      </c>
      <c r="E271" t="s">
        <v>96</v>
      </c>
      <c r="F271" t="s">
        <v>45</v>
      </c>
      <c r="G271" t="s">
        <v>46</v>
      </c>
      <c r="H271" s="1">
        <v>80600</v>
      </c>
      <c r="I271" t="s">
        <v>687</v>
      </c>
      <c r="J271" t="s">
        <v>23</v>
      </c>
      <c r="L271" t="s">
        <v>48</v>
      </c>
      <c r="M271" s="1">
        <v>0</v>
      </c>
      <c r="N271" s="1">
        <v>0</v>
      </c>
      <c r="O271" t="s">
        <v>283</v>
      </c>
      <c r="P271" t="s">
        <v>26</v>
      </c>
    </row>
    <row r="272" spans="1:16" x14ac:dyDescent="0.2">
      <c r="A272" t="s">
        <v>278</v>
      </c>
      <c r="B272" t="s">
        <v>279</v>
      </c>
      <c r="C272" t="s">
        <v>575</v>
      </c>
      <c r="D272" t="s">
        <v>688</v>
      </c>
      <c r="E272" t="s">
        <v>96</v>
      </c>
      <c r="F272" t="s">
        <v>45</v>
      </c>
      <c r="G272" t="s">
        <v>46</v>
      </c>
      <c r="H272" s="1">
        <v>15001.1</v>
      </c>
      <c r="I272" t="s">
        <v>689</v>
      </c>
      <c r="J272" t="s">
        <v>23</v>
      </c>
      <c r="L272" t="s">
        <v>48</v>
      </c>
      <c r="M272" s="1">
        <v>0</v>
      </c>
      <c r="N272" s="1">
        <v>0</v>
      </c>
      <c r="O272" t="s">
        <v>283</v>
      </c>
      <c r="P272" t="s">
        <v>26</v>
      </c>
    </row>
    <row r="273" spans="1:16" x14ac:dyDescent="0.2">
      <c r="A273" t="s">
        <v>278</v>
      </c>
      <c r="B273" t="s">
        <v>279</v>
      </c>
      <c r="C273" t="s">
        <v>575</v>
      </c>
      <c r="D273" t="s">
        <v>690</v>
      </c>
      <c r="E273" t="s">
        <v>96</v>
      </c>
      <c r="F273" t="s">
        <v>45</v>
      </c>
      <c r="G273" t="s">
        <v>46</v>
      </c>
      <c r="H273" s="1">
        <v>57480</v>
      </c>
      <c r="I273" t="s">
        <v>691</v>
      </c>
      <c r="J273" t="s">
        <v>23</v>
      </c>
      <c r="L273" t="s">
        <v>48</v>
      </c>
      <c r="M273" s="1">
        <v>0</v>
      </c>
      <c r="N273" s="1">
        <v>0</v>
      </c>
      <c r="O273" t="s">
        <v>283</v>
      </c>
      <c r="P273" t="s">
        <v>26</v>
      </c>
    </row>
    <row r="274" spans="1:16" x14ac:dyDescent="0.2">
      <c r="A274" t="s">
        <v>278</v>
      </c>
      <c r="B274" t="s">
        <v>279</v>
      </c>
      <c r="C274" t="s">
        <v>575</v>
      </c>
      <c r="D274" t="s">
        <v>692</v>
      </c>
      <c r="E274" t="s">
        <v>96</v>
      </c>
      <c r="F274" t="s">
        <v>45</v>
      </c>
      <c r="G274" t="s">
        <v>46</v>
      </c>
      <c r="H274" s="1">
        <v>0</v>
      </c>
      <c r="I274" t="s">
        <v>693</v>
      </c>
      <c r="J274" t="s">
        <v>23</v>
      </c>
      <c r="L274" t="s">
        <v>48</v>
      </c>
      <c r="M274" s="1">
        <v>0</v>
      </c>
      <c r="N274" s="1">
        <v>0</v>
      </c>
      <c r="O274" t="s">
        <v>283</v>
      </c>
      <c r="P274" t="s">
        <v>26</v>
      </c>
    </row>
    <row r="275" spans="1:16" x14ac:dyDescent="0.2">
      <c r="A275" t="s">
        <v>278</v>
      </c>
      <c r="B275" t="s">
        <v>279</v>
      </c>
      <c r="C275" t="s">
        <v>575</v>
      </c>
      <c r="D275" t="s">
        <v>694</v>
      </c>
      <c r="E275" t="s">
        <v>96</v>
      </c>
      <c r="F275" t="s">
        <v>45</v>
      </c>
      <c r="G275" t="s">
        <v>46</v>
      </c>
      <c r="H275" s="1">
        <v>46000</v>
      </c>
      <c r="I275" t="s">
        <v>695</v>
      </c>
      <c r="J275" t="s">
        <v>23</v>
      </c>
      <c r="L275" t="s">
        <v>48</v>
      </c>
      <c r="M275" s="1">
        <v>0</v>
      </c>
      <c r="N275" s="1">
        <v>0</v>
      </c>
      <c r="O275" t="s">
        <v>283</v>
      </c>
      <c r="P275" t="s">
        <v>26</v>
      </c>
    </row>
    <row r="276" spans="1:16" x14ac:dyDescent="0.2">
      <c r="A276" t="s">
        <v>278</v>
      </c>
      <c r="B276" t="s">
        <v>279</v>
      </c>
      <c r="C276" t="s">
        <v>696</v>
      </c>
      <c r="D276" t="s">
        <v>697</v>
      </c>
      <c r="E276" t="s">
        <v>96</v>
      </c>
      <c r="F276" t="s">
        <v>45</v>
      </c>
      <c r="G276" t="s">
        <v>46</v>
      </c>
      <c r="H276" s="1">
        <v>86400</v>
      </c>
      <c r="I276" t="s">
        <v>698</v>
      </c>
      <c r="J276" t="s">
        <v>23</v>
      </c>
      <c r="L276" t="s">
        <v>48</v>
      </c>
      <c r="M276" s="1">
        <v>0</v>
      </c>
      <c r="N276" s="1">
        <v>0</v>
      </c>
      <c r="O276" t="s">
        <v>283</v>
      </c>
      <c r="P276" t="s">
        <v>26</v>
      </c>
    </row>
    <row r="277" spans="1:16" x14ac:dyDescent="0.2">
      <c r="A277" t="s">
        <v>278</v>
      </c>
      <c r="B277" t="s">
        <v>279</v>
      </c>
      <c r="C277" t="s">
        <v>696</v>
      </c>
      <c r="D277" t="s">
        <v>699</v>
      </c>
      <c r="E277" t="s">
        <v>96</v>
      </c>
      <c r="F277" t="s">
        <v>700</v>
      </c>
      <c r="G277" t="s">
        <v>701</v>
      </c>
      <c r="H277" s="1">
        <v>75300</v>
      </c>
      <c r="I277" t="s">
        <v>702</v>
      </c>
      <c r="J277" t="s">
        <v>703</v>
      </c>
      <c r="L277" t="s">
        <v>675</v>
      </c>
      <c r="M277" s="1">
        <v>0</v>
      </c>
      <c r="N277" s="1">
        <v>0</v>
      </c>
      <c r="O277" t="s">
        <v>283</v>
      </c>
      <c r="P277" t="s">
        <v>26</v>
      </c>
    </row>
    <row r="278" spans="1:16" x14ac:dyDescent="0.2">
      <c r="A278" t="s">
        <v>278</v>
      </c>
      <c r="B278" t="s">
        <v>279</v>
      </c>
      <c r="C278" t="s">
        <v>280</v>
      </c>
      <c r="D278" t="s">
        <v>704</v>
      </c>
      <c r="E278" t="s">
        <v>96</v>
      </c>
      <c r="F278" t="s">
        <v>45</v>
      </c>
      <c r="G278" t="s">
        <v>46</v>
      </c>
      <c r="H278" s="1">
        <v>44400</v>
      </c>
      <c r="I278" t="s">
        <v>705</v>
      </c>
      <c r="J278" t="s">
        <v>23</v>
      </c>
      <c r="L278" t="s">
        <v>48</v>
      </c>
      <c r="M278" s="1">
        <v>0</v>
      </c>
      <c r="N278" s="1">
        <v>0</v>
      </c>
      <c r="O278" t="s">
        <v>283</v>
      </c>
      <c r="P278" t="s">
        <v>26</v>
      </c>
    </row>
    <row r="279" spans="1:16" x14ac:dyDescent="0.2">
      <c r="A279" t="s">
        <v>278</v>
      </c>
      <c r="B279" t="s">
        <v>279</v>
      </c>
      <c r="C279" t="s">
        <v>280</v>
      </c>
      <c r="D279" t="s">
        <v>706</v>
      </c>
      <c r="E279" t="s">
        <v>96</v>
      </c>
      <c r="F279" t="s">
        <v>45</v>
      </c>
      <c r="G279" t="s">
        <v>46</v>
      </c>
      <c r="H279" s="1">
        <v>57480</v>
      </c>
      <c r="I279" t="s">
        <v>707</v>
      </c>
      <c r="J279" t="s">
        <v>23</v>
      </c>
      <c r="L279" t="s">
        <v>48</v>
      </c>
      <c r="M279" s="1">
        <v>0</v>
      </c>
      <c r="N279" s="1">
        <v>0</v>
      </c>
      <c r="O279" t="s">
        <v>283</v>
      </c>
      <c r="P279" t="s">
        <v>26</v>
      </c>
    </row>
    <row r="280" spans="1:16" x14ac:dyDescent="0.2">
      <c r="A280" t="s">
        <v>278</v>
      </c>
      <c r="B280" t="s">
        <v>279</v>
      </c>
      <c r="C280" t="s">
        <v>280</v>
      </c>
      <c r="D280" t="s">
        <v>708</v>
      </c>
      <c r="E280" t="s">
        <v>96</v>
      </c>
      <c r="F280" t="s">
        <v>45</v>
      </c>
      <c r="G280" t="s">
        <v>46</v>
      </c>
      <c r="H280" s="1">
        <v>45000</v>
      </c>
      <c r="I280" t="s">
        <v>709</v>
      </c>
      <c r="J280" t="s">
        <v>23</v>
      </c>
      <c r="L280" t="s">
        <v>48</v>
      </c>
      <c r="M280" s="1">
        <v>0</v>
      </c>
      <c r="N280" s="1">
        <v>0</v>
      </c>
      <c r="O280" t="s">
        <v>283</v>
      </c>
      <c r="P280" t="s">
        <v>26</v>
      </c>
    </row>
    <row r="281" spans="1:16" x14ac:dyDescent="0.2">
      <c r="A281" t="s">
        <v>278</v>
      </c>
      <c r="B281" t="s">
        <v>279</v>
      </c>
      <c r="C281" t="s">
        <v>280</v>
      </c>
      <c r="D281" t="s">
        <v>710</v>
      </c>
      <c r="E281" t="s">
        <v>96</v>
      </c>
      <c r="F281" t="s">
        <v>45</v>
      </c>
      <c r="G281" t="s">
        <v>46</v>
      </c>
      <c r="H281" s="1">
        <v>48600</v>
      </c>
      <c r="I281" t="s">
        <v>711</v>
      </c>
      <c r="J281" t="s">
        <v>23</v>
      </c>
      <c r="L281" t="s">
        <v>48</v>
      </c>
      <c r="M281" s="1">
        <v>0</v>
      </c>
      <c r="N281" s="1">
        <v>0</v>
      </c>
      <c r="O281" t="s">
        <v>283</v>
      </c>
      <c r="P281" t="s">
        <v>26</v>
      </c>
    </row>
    <row r="282" spans="1:16" x14ac:dyDescent="0.2">
      <c r="A282" t="s">
        <v>278</v>
      </c>
      <c r="B282" t="s">
        <v>279</v>
      </c>
      <c r="C282" t="s">
        <v>712</v>
      </c>
      <c r="D282" t="s">
        <v>713</v>
      </c>
      <c r="E282" t="s">
        <v>96</v>
      </c>
      <c r="F282" t="s">
        <v>45</v>
      </c>
      <c r="G282" t="s">
        <v>46</v>
      </c>
      <c r="H282" s="1">
        <v>35640</v>
      </c>
      <c r="I282" t="s">
        <v>673</v>
      </c>
      <c r="J282" t="s">
        <v>23</v>
      </c>
      <c r="L282" t="s">
        <v>48</v>
      </c>
      <c r="M282" s="1">
        <v>0</v>
      </c>
      <c r="N282" s="1">
        <v>0</v>
      </c>
      <c r="O282" t="s">
        <v>283</v>
      </c>
      <c r="P282" t="s">
        <v>26</v>
      </c>
    </row>
    <row r="283" spans="1:16" x14ac:dyDescent="0.2">
      <c r="A283" t="s">
        <v>278</v>
      </c>
      <c r="B283" t="s">
        <v>279</v>
      </c>
      <c r="C283" t="s">
        <v>712</v>
      </c>
      <c r="D283" t="s">
        <v>714</v>
      </c>
      <c r="E283" t="s">
        <v>96</v>
      </c>
      <c r="F283" t="s">
        <v>45</v>
      </c>
      <c r="G283" t="s">
        <v>46</v>
      </c>
      <c r="H283" s="1">
        <v>40360</v>
      </c>
      <c r="I283" t="s">
        <v>715</v>
      </c>
      <c r="J283" t="s">
        <v>23</v>
      </c>
      <c r="L283" t="s">
        <v>48</v>
      </c>
      <c r="M283" s="1">
        <v>0</v>
      </c>
      <c r="N283" s="1">
        <v>0</v>
      </c>
      <c r="O283" t="s">
        <v>283</v>
      </c>
      <c r="P283" t="s">
        <v>26</v>
      </c>
    </row>
    <row r="284" spans="1:16" x14ac:dyDescent="0.2">
      <c r="A284" t="s">
        <v>278</v>
      </c>
      <c r="B284" t="s">
        <v>279</v>
      </c>
      <c r="C284" t="s">
        <v>149</v>
      </c>
      <c r="D284" t="s">
        <v>716</v>
      </c>
      <c r="E284" t="s">
        <v>96</v>
      </c>
      <c r="F284" t="s">
        <v>45</v>
      </c>
      <c r="G284" t="s">
        <v>46</v>
      </c>
      <c r="H284" s="1">
        <v>48600</v>
      </c>
      <c r="I284" t="s">
        <v>717</v>
      </c>
      <c r="J284" t="s">
        <v>23</v>
      </c>
      <c r="L284" t="s">
        <v>48</v>
      </c>
      <c r="M284" s="1">
        <v>0</v>
      </c>
      <c r="N284" s="1">
        <v>0</v>
      </c>
      <c r="O284" t="s">
        <v>283</v>
      </c>
      <c r="P284" t="s">
        <v>26</v>
      </c>
    </row>
    <row r="285" spans="1:16" x14ac:dyDescent="0.2">
      <c r="A285" t="s">
        <v>278</v>
      </c>
      <c r="B285" t="s">
        <v>279</v>
      </c>
      <c r="C285" t="s">
        <v>149</v>
      </c>
      <c r="D285" t="s">
        <v>718</v>
      </c>
      <c r="E285" t="s">
        <v>96</v>
      </c>
      <c r="F285" t="s">
        <v>45</v>
      </c>
      <c r="G285" t="s">
        <v>46</v>
      </c>
      <c r="H285" s="1">
        <v>55000</v>
      </c>
      <c r="I285" t="s">
        <v>719</v>
      </c>
      <c r="J285" t="s">
        <v>23</v>
      </c>
      <c r="L285" t="s">
        <v>48</v>
      </c>
      <c r="M285" s="1">
        <v>0</v>
      </c>
      <c r="N285" s="1">
        <v>0</v>
      </c>
      <c r="O285" t="s">
        <v>283</v>
      </c>
      <c r="P285" t="s">
        <v>26</v>
      </c>
    </row>
    <row r="286" spans="1:16" x14ac:dyDescent="0.2">
      <c r="A286" t="s">
        <v>278</v>
      </c>
      <c r="B286" t="s">
        <v>279</v>
      </c>
      <c r="C286" t="s">
        <v>720</v>
      </c>
      <c r="D286" t="s">
        <v>721</v>
      </c>
      <c r="E286" t="s">
        <v>96</v>
      </c>
      <c r="F286" t="s">
        <v>45</v>
      </c>
      <c r="G286" t="s">
        <v>46</v>
      </c>
      <c r="H286" s="1">
        <v>1000</v>
      </c>
      <c r="I286" t="s">
        <v>722</v>
      </c>
      <c r="J286" t="s">
        <v>23</v>
      </c>
      <c r="L286" t="s">
        <v>48</v>
      </c>
      <c r="M286" s="1">
        <v>0</v>
      </c>
      <c r="N286" s="1">
        <v>0</v>
      </c>
      <c r="O286" t="s">
        <v>283</v>
      </c>
      <c r="P286" t="s">
        <v>26</v>
      </c>
    </row>
    <row r="287" spans="1:16" x14ac:dyDescent="0.2">
      <c r="A287" t="s">
        <v>278</v>
      </c>
      <c r="B287" t="s">
        <v>279</v>
      </c>
      <c r="C287" t="s">
        <v>723</v>
      </c>
      <c r="D287" t="s">
        <v>724</v>
      </c>
      <c r="E287" t="s">
        <v>96</v>
      </c>
      <c r="F287" t="s">
        <v>45</v>
      </c>
      <c r="G287" t="s">
        <v>46</v>
      </c>
      <c r="H287" s="1">
        <v>48600</v>
      </c>
      <c r="I287" t="s">
        <v>725</v>
      </c>
      <c r="J287" t="s">
        <v>23</v>
      </c>
      <c r="L287" t="s">
        <v>48</v>
      </c>
      <c r="M287" s="1">
        <v>0</v>
      </c>
      <c r="N287" s="1">
        <v>0</v>
      </c>
      <c r="O287" t="s">
        <v>283</v>
      </c>
      <c r="P287" t="s">
        <v>26</v>
      </c>
    </row>
    <row r="288" spans="1:16" x14ac:dyDescent="0.2">
      <c r="A288" t="s">
        <v>278</v>
      </c>
      <c r="B288" t="s">
        <v>279</v>
      </c>
      <c r="C288" t="s">
        <v>723</v>
      </c>
      <c r="D288" t="s">
        <v>726</v>
      </c>
      <c r="E288" t="s">
        <v>96</v>
      </c>
      <c r="F288" t="s">
        <v>45</v>
      </c>
      <c r="G288" t="s">
        <v>46</v>
      </c>
      <c r="H288" s="1">
        <v>45000</v>
      </c>
      <c r="I288" t="s">
        <v>725</v>
      </c>
      <c r="J288" t="s">
        <v>23</v>
      </c>
      <c r="L288" t="s">
        <v>48</v>
      </c>
      <c r="M288" s="1">
        <v>0</v>
      </c>
      <c r="N288" s="1">
        <v>0</v>
      </c>
      <c r="O288" t="s">
        <v>283</v>
      </c>
      <c r="P288" t="s">
        <v>26</v>
      </c>
    </row>
    <row r="289" spans="1:16" x14ac:dyDescent="0.2">
      <c r="A289" t="s">
        <v>278</v>
      </c>
      <c r="B289" t="s">
        <v>279</v>
      </c>
      <c r="C289" t="s">
        <v>594</v>
      </c>
      <c r="D289" t="s">
        <v>727</v>
      </c>
      <c r="E289" t="s">
        <v>96</v>
      </c>
      <c r="F289" t="s">
        <v>45</v>
      </c>
      <c r="G289" t="s">
        <v>46</v>
      </c>
      <c r="H289" s="1">
        <v>94960</v>
      </c>
      <c r="I289" t="s">
        <v>728</v>
      </c>
      <c r="J289" t="s">
        <v>23</v>
      </c>
      <c r="L289" t="s">
        <v>48</v>
      </c>
      <c r="M289" s="1">
        <v>0</v>
      </c>
      <c r="N289" s="1">
        <v>0</v>
      </c>
      <c r="O289" t="s">
        <v>283</v>
      </c>
      <c r="P289" t="s">
        <v>26</v>
      </c>
    </row>
    <row r="290" spans="1:16" x14ac:dyDescent="0.2">
      <c r="A290" t="s">
        <v>366</v>
      </c>
      <c r="B290" t="s">
        <v>367</v>
      </c>
      <c r="C290" t="s">
        <v>729</v>
      </c>
      <c r="D290" t="s">
        <v>730</v>
      </c>
      <c r="E290" t="s">
        <v>256</v>
      </c>
      <c r="F290" t="s">
        <v>731</v>
      </c>
      <c r="G290" t="s">
        <v>732</v>
      </c>
      <c r="H290" s="1">
        <v>14451.7</v>
      </c>
      <c r="I290" t="s">
        <v>733</v>
      </c>
      <c r="J290" t="s">
        <v>372</v>
      </c>
      <c r="L290" t="s">
        <v>366</v>
      </c>
      <c r="M290" s="1">
        <v>0</v>
      </c>
      <c r="N290" s="1">
        <v>0</v>
      </c>
      <c r="O290" t="s">
        <v>36</v>
      </c>
      <c r="P290" t="s">
        <v>26</v>
      </c>
    </row>
    <row r="291" spans="1:16" x14ac:dyDescent="0.2">
      <c r="A291" t="s">
        <v>366</v>
      </c>
      <c r="B291" t="s">
        <v>367</v>
      </c>
      <c r="C291" t="s">
        <v>424</v>
      </c>
      <c r="D291" t="s">
        <v>734</v>
      </c>
      <c r="E291" t="s">
        <v>192</v>
      </c>
      <c r="F291" t="s">
        <v>735</v>
      </c>
      <c r="G291" t="s">
        <v>736</v>
      </c>
      <c r="H291" s="1">
        <v>13819.2</v>
      </c>
      <c r="I291" t="s">
        <v>737</v>
      </c>
      <c r="J291" t="s">
        <v>487</v>
      </c>
      <c r="L291" t="s">
        <v>366</v>
      </c>
      <c r="M291" s="1">
        <v>0</v>
      </c>
      <c r="N291" s="1">
        <v>0</v>
      </c>
      <c r="O291" t="s">
        <v>36</v>
      </c>
      <c r="P291" t="s">
        <v>26</v>
      </c>
    </row>
    <row r="292" spans="1:16" x14ac:dyDescent="0.2">
      <c r="A292" t="s">
        <v>366</v>
      </c>
      <c r="B292" t="s">
        <v>367</v>
      </c>
      <c r="C292" t="s">
        <v>738</v>
      </c>
      <c r="D292" t="s">
        <v>739</v>
      </c>
      <c r="E292" t="s">
        <v>192</v>
      </c>
      <c r="F292" t="s">
        <v>740</v>
      </c>
      <c r="G292" t="s">
        <v>741</v>
      </c>
      <c r="H292" s="1">
        <v>20771.599999999999</v>
      </c>
      <c r="I292" t="s">
        <v>742</v>
      </c>
      <c r="J292" t="s">
        <v>120</v>
      </c>
      <c r="L292" t="s">
        <v>366</v>
      </c>
      <c r="M292" s="1">
        <v>0</v>
      </c>
      <c r="N292" s="1">
        <v>0</v>
      </c>
      <c r="O292" t="s">
        <v>36</v>
      </c>
      <c r="P292" t="s">
        <v>26</v>
      </c>
    </row>
    <row r="293" spans="1:16" x14ac:dyDescent="0.2">
      <c r="A293" t="s">
        <v>366</v>
      </c>
      <c r="B293" t="s">
        <v>367</v>
      </c>
      <c r="C293" t="s">
        <v>380</v>
      </c>
      <c r="D293" t="s">
        <v>743</v>
      </c>
      <c r="E293" t="s">
        <v>192</v>
      </c>
      <c r="F293" t="s">
        <v>731</v>
      </c>
      <c r="G293" t="s">
        <v>732</v>
      </c>
      <c r="H293" s="1">
        <v>15325</v>
      </c>
      <c r="I293" t="s">
        <v>744</v>
      </c>
      <c r="J293" t="s">
        <v>372</v>
      </c>
      <c r="L293" t="s">
        <v>366</v>
      </c>
      <c r="M293" s="1">
        <v>0</v>
      </c>
      <c r="N293" s="1">
        <v>0</v>
      </c>
      <c r="O293" t="s">
        <v>36</v>
      </c>
      <c r="P293" t="s">
        <v>26</v>
      </c>
    </row>
    <row r="294" spans="1:16" x14ac:dyDescent="0.2">
      <c r="A294" t="s">
        <v>366</v>
      </c>
      <c r="B294" t="s">
        <v>367</v>
      </c>
      <c r="C294" t="s">
        <v>745</v>
      </c>
      <c r="D294" t="s">
        <v>746</v>
      </c>
      <c r="E294" t="s">
        <v>192</v>
      </c>
      <c r="F294" t="s">
        <v>747</v>
      </c>
      <c r="G294" t="s">
        <v>748</v>
      </c>
      <c r="H294" s="1">
        <v>9208.35</v>
      </c>
      <c r="I294" t="s">
        <v>749</v>
      </c>
      <c r="J294" t="s">
        <v>372</v>
      </c>
      <c r="L294" t="s">
        <v>366</v>
      </c>
      <c r="M294" s="1">
        <v>0</v>
      </c>
      <c r="N294" s="1">
        <v>0</v>
      </c>
      <c r="O294" t="s">
        <v>36</v>
      </c>
      <c r="P294" t="s">
        <v>26</v>
      </c>
    </row>
    <row r="295" spans="1:16" x14ac:dyDescent="0.2">
      <c r="A295" t="s">
        <v>366</v>
      </c>
      <c r="B295" t="s">
        <v>367</v>
      </c>
      <c r="C295" t="s">
        <v>750</v>
      </c>
      <c r="D295" t="s">
        <v>751</v>
      </c>
      <c r="E295" t="s">
        <v>67</v>
      </c>
      <c r="F295" t="s">
        <v>752</v>
      </c>
      <c r="G295" t="s">
        <v>753</v>
      </c>
      <c r="H295" s="1">
        <v>1782.69</v>
      </c>
      <c r="I295" t="s">
        <v>754</v>
      </c>
      <c r="J295" t="s">
        <v>422</v>
      </c>
      <c r="L295" t="s">
        <v>366</v>
      </c>
      <c r="M295" s="1">
        <v>0</v>
      </c>
      <c r="N295" s="1">
        <v>0</v>
      </c>
      <c r="O295" t="s">
        <v>36</v>
      </c>
      <c r="P295" t="s">
        <v>26</v>
      </c>
    </row>
    <row r="296" spans="1:16" x14ac:dyDescent="0.2">
      <c r="A296" t="s">
        <v>366</v>
      </c>
      <c r="B296" t="s">
        <v>367</v>
      </c>
      <c r="C296" t="s">
        <v>417</v>
      </c>
      <c r="D296" t="s">
        <v>755</v>
      </c>
      <c r="E296" t="s">
        <v>38</v>
      </c>
      <c r="F296" t="s">
        <v>731</v>
      </c>
      <c r="G296" t="s">
        <v>732</v>
      </c>
      <c r="H296" s="1">
        <v>4250.5</v>
      </c>
      <c r="I296" t="s">
        <v>756</v>
      </c>
      <c r="J296" t="s">
        <v>372</v>
      </c>
      <c r="L296" t="s">
        <v>366</v>
      </c>
      <c r="M296" s="1">
        <v>0</v>
      </c>
      <c r="N296" s="1">
        <v>0</v>
      </c>
      <c r="O296" t="s">
        <v>36</v>
      </c>
      <c r="P296" t="s">
        <v>26</v>
      </c>
    </row>
    <row r="297" spans="1:16" x14ac:dyDescent="0.2">
      <c r="A297" t="s">
        <v>366</v>
      </c>
      <c r="B297" t="s">
        <v>367</v>
      </c>
      <c r="C297" t="s">
        <v>757</v>
      </c>
      <c r="D297" t="s">
        <v>758</v>
      </c>
      <c r="E297" t="s">
        <v>38</v>
      </c>
      <c r="F297" t="s">
        <v>731</v>
      </c>
      <c r="G297" t="s">
        <v>732</v>
      </c>
      <c r="H297" s="1">
        <v>6811.12</v>
      </c>
      <c r="I297" t="s">
        <v>759</v>
      </c>
      <c r="J297" t="s">
        <v>372</v>
      </c>
      <c r="L297" t="s">
        <v>366</v>
      </c>
      <c r="M297" s="1">
        <v>0</v>
      </c>
      <c r="N297" s="1">
        <v>0</v>
      </c>
      <c r="O297" t="s">
        <v>36</v>
      </c>
      <c r="P297" t="s">
        <v>26</v>
      </c>
    </row>
    <row r="298" spans="1:16" x14ac:dyDescent="0.2">
      <c r="A298" t="s">
        <v>366</v>
      </c>
      <c r="B298" t="s">
        <v>367</v>
      </c>
      <c r="C298" t="s">
        <v>760</v>
      </c>
      <c r="D298" t="s">
        <v>761</v>
      </c>
      <c r="E298" t="s">
        <v>38</v>
      </c>
      <c r="F298" t="s">
        <v>762</v>
      </c>
      <c r="G298" t="s">
        <v>763</v>
      </c>
      <c r="H298" s="1">
        <v>31410</v>
      </c>
      <c r="I298" t="s">
        <v>764</v>
      </c>
      <c r="J298" t="s">
        <v>422</v>
      </c>
      <c r="L298" t="s">
        <v>366</v>
      </c>
      <c r="M298" s="1">
        <v>0</v>
      </c>
      <c r="N298" s="1">
        <v>0</v>
      </c>
      <c r="O298" t="s">
        <v>36</v>
      </c>
      <c r="P298" t="s">
        <v>26</v>
      </c>
    </row>
    <row r="299" spans="1:16" x14ac:dyDescent="0.2">
      <c r="A299" t="s">
        <v>366</v>
      </c>
      <c r="B299" t="s">
        <v>367</v>
      </c>
      <c r="C299" t="s">
        <v>765</v>
      </c>
      <c r="D299" t="s">
        <v>766</v>
      </c>
      <c r="E299" t="s">
        <v>38</v>
      </c>
      <c r="F299" t="s">
        <v>731</v>
      </c>
      <c r="G299" t="s">
        <v>732</v>
      </c>
      <c r="H299" s="1">
        <v>11919.5</v>
      </c>
      <c r="I299" t="s">
        <v>733</v>
      </c>
      <c r="J299" t="s">
        <v>372</v>
      </c>
      <c r="L299" t="s">
        <v>366</v>
      </c>
      <c r="M299" s="1">
        <v>0</v>
      </c>
      <c r="N299" s="1">
        <v>0</v>
      </c>
      <c r="O299" t="s">
        <v>36</v>
      </c>
      <c r="P299" t="s">
        <v>26</v>
      </c>
    </row>
    <row r="300" spans="1:16" x14ac:dyDescent="0.2">
      <c r="A300" t="s">
        <v>366</v>
      </c>
      <c r="B300" t="s">
        <v>367</v>
      </c>
      <c r="C300" t="s">
        <v>767</v>
      </c>
      <c r="D300" t="s">
        <v>768</v>
      </c>
      <c r="E300" t="s">
        <v>38</v>
      </c>
      <c r="F300" t="s">
        <v>740</v>
      </c>
      <c r="G300" t="s">
        <v>741</v>
      </c>
      <c r="H300" s="1">
        <v>11424.4</v>
      </c>
      <c r="I300" t="s">
        <v>769</v>
      </c>
      <c r="J300" t="s">
        <v>120</v>
      </c>
      <c r="L300" t="s">
        <v>366</v>
      </c>
      <c r="M300" s="1">
        <v>0</v>
      </c>
      <c r="N300" s="1">
        <v>0</v>
      </c>
      <c r="O300" t="s">
        <v>36</v>
      </c>
      <c r="P300" t="s">
        <v>26</v>
      </c>
    </row>
    <row r="301" spans="1:16" x14ac:dyDescent="0.2">
      <c r="A301" t="s">
        <v>366</v>
      </c>
      <c r="B301" t="s">
        <v>367</v>
      </c>
      <c r="C301" t="s">
        <v>770</v>
      </c>
      <c r="D301" t="s">
        <v>771</v>
      </c>
      <c r="E301" t="s">
        <v>38</v>
      </c>
      <c r="F301" t="s">
        <v>752</v>
      </c>
      <c r="G301" t="s">
        <v>753</v>
      </c>
      <c r="H301" s="1">
        <v>339.56</v>
      </c>
      <c r="I301" t="s">
        <v>772</v>
      </c>
      <c r="J301" t="s">
        <v>422</v>
      </c>
      <c r="L301" t="s">
        <v>366</v>
      </c>
      <c r="M301" s="1">
        <v>0</v>
      </c>
      <c r="N301" s="1">
        <v>0</v>
      </c>
      <c r="O301" t="s">
        <v>36</v>
      </c>
      <c r="P301" t="s">
        <v>26</v>
      </c>
    </row>
    <row r="302" spans="1:16" x14ac:dyDescent="0.2">
      <c r="A302" t="s">
        <v>366</v>
      </c>
      <c r="B302" t="s">
        <v>367</v>
      </c>
      <c r="C302" t="s">
        <v>252</v>
      </c>
      <c r="D302" t="s">
        <v>773</v>
      </c>
      <c r="E302" t="s">
        <v>38</v>
      </c>
      <c r="F302" t="s">
        <v>369</v>
      </c>
      <c r="G302" t="s">
        <v>370</v>
      </c>
      <c r="H302" s="1">
        <v>30554</v>
      </c>
      <c r="I302" t="s">
        <v>774</v>
      </c>
      <c r="J302" t="s">
        <v>372</v>
      </c>
      <c r="L302" t="s">
        <v>366</v>
      </c>
      <c r="M302" s="1">
        <v>0</v>
      </c>
      <c r="N302" s="1">
        <v>0</v>
      </c>
      <c r="O302" t="s">
        <v>36</v>
      </c>
      <c r="P302" t="s">
        <v>26</v>
      </c>
    </row>
    <row r="303" spans="1:16" x14ac:dyDescent="0.2">
      <c r="A303" t="s">
        <v>366</v>
      </c>
      <c r="B303" t="s">
        <v>367</v>
      </c>
      <c r="C303" t="s">
        <v>489</v>
      </c>
      <c r="D303" t="s">
        <v>775</v>
      </c>
      <c r="E303" t="s">
        <v>71</v>
      </c>
      <c r="F303" t="s">
        <v>752</v>
      </c>
      <c r="G303" t="s">
        <v>753</v>
      </c>
      <c r="H303" s="1">
        <v>1697.8</v>
      </c>
      <c r="I303" t="s">
        <v>371</v>
      </c>
      <c r="J303" t="s">
        <v>422</v>
      </c>
      <c r="L303" t="s">
        <v>366</v>
      </c>
      <c r="M303" s="1">
        <v>0</v>
      </c>
      <c r="N303" s="1">
        <v>0</v>
      </c>
      <c r="O303" t="s">
        <v>36</v>
      </c>
      <c r="P303" t="s">
        <v>26</v>
      </c>
    </row>
    <row r="304" spans="1:16" x14ac:dyDescent="0.2">
      <c r="A304" t="s">
        <v>366</v>
      </c>
      <c r="B304" t="s">
        <v>367</v>
      </c>
      <c r="C304" t="s">
        <v>776</v>
      </c>
      <c r="D304" t="s">
        <v>777</v>
      </c>
      <c r="E304" t="s">
        <v>71</v>
      </c>
      <c r="F304" t="s">
        <v>369</v>
      </c>
      <c r="G304" t="s">
        <v>370</v>
      </c>
      <c r="H304" s="1">
        <v>14774</v>
      </c>
      <c r="I304" t="s">
        <v>778</v>
      </c>
      <c r="J304" t="s">
        <v>372</v>
      </c>
      <c r="L304" t="s">
        <v>366</v>
      </c>
      <c r="M304" s="1">
        <v>0</v>
      </c>
      <c r="N304" s="1">
        <v>0</v>
      </c>
      <c r="O304" t="s">
        <v>36</v>
      </c>
      <c r="P304" t="s">
        <v>26</v>
      </c>
    </row>
    <row r="305" spans="1:16" x14ac:dyDescent="0.2">
      <c r="A305" t="s">
        <v>366</v>
      </c>
      <c r="B305" t="s">
        <v>367</v>
      </c>
      <c r="C305" t="s">
        <v>779</v>
      </c>
      <c r="D305" t="s">
        <v>780</v>
      </c>
      <c r="E305" t="s">
        <v>71</v>
      </c>
      <c r="F305" t="s">
        <v>731</v>
      </c>
      <c r="G305" t="s">
        <v>732</v>
      </c>
      <c r="H305" s="1">
        <v>17027.8</v>
      </c>
      <c r="I305" t="s">
        <v>781</v>
      </c>
      <c r="J305" t="s">
        <v>372</v>
      </c>
      <c r="L305" t="s">
        <v>366</v>
      </c>
      <c r="M305" s="1">
        <v>0</v>
      </c>
      <c r="N305" s="1">
        <v>0</v>
      </c>
      <c r="O305" t="s">
        <v>36</v>
      </c>
      <c r="P305" t="s">
        <v>26</v>
      </c>
    </row>
    <row r="306" spans="1:16" x14ac:dyDescent="0.2">
      <c r="A306" t="s">
        <v>366</v>
      </c>
      <c r="B306" t="s">
        <v>367</v>
      </c>
      <c r="C306" t="s">
        <v>782</v>
      </c>
      <c r="D306" t="s">
        <v>783</v>
      </c>
      <c r="E306" t="s">
        <v>71</v>
      </c>
      <c r="F306" t="s">
        <v>369</v>
      </c>
      <c r="G306" t="s">
        <v>370</v>
      </c>
      <c r="H306" s="1">
        <v>21387.8</v>
      </c>
      <c r="I306" t="s">
        <v>784</v>
      </c>
      <c r="J306" t="s">
        <v>372</v>
      </c>
      <c r="L306" t="s">
        <v>366</v>
      </c>
      <c r="M306" s="1">
        <v>0</v>
      </c>
      <c r="N306" s="1">
        <v>0</v>
      </c>
      <c r="O306" t="s">
        <v>36</v>
      </c>
      <c r="P306" t="s">
        <v>26</v>
      </c>
    </row>
    <row r="307" spans="1:16" x14ac:dyDescent="0.2">
      <c r="A307" t="s">
        <v>366</v>
      </c>
      <c r="B307" t="s">
        <v>367</v>
      </c>
      <c r="C307" t="s">
        <v>495</v>
      </c>
      <c r="D307" t="s">
        <v>785</v>
      </c>
      <c r="E307" t="s">
        <v>71</v>
      </c>
      <c r="F307" t="s">
        <v>786</v>
      </c>
      <c r="G307" t="s">
        <v>787</v>
      </c>
      <c r="H307" s="1">
        <v>13266</v>
      </c>
      <c r="I307" t="s">
        <v>788</v>
      </c>
      <c r="J307" t="s">
        <v>372</v>
      </c>
      <c r="L307" t="s">
        <v>366</v>
      </c>
      <c r="M307" s="1">
        <v>0</v>
      </c>
      <c r="N307" s="1">
        <v>0</v>
      </c>
      <c r="O307" t="s">
        <v>36</v>
      </c>
      <c r="P307" t="s">
        <v>26</v>
      </c>
    </row>
    <row r="308" spans="1:16" x14ac:dyDescent="0.2">
      <c r="A308" t="s">
        <v>366</v>
      </c>
      <c r="B308" t="s">
        <v>367</v>
      </c>
      <c r="C308" t="s">
        <v>442</v>
      </c>
      <c r="D308" t="s">
        <v>789</v>
      </c>
      <c r="E308" t="s">
        <v>71</v>
      </c>
      <c r="F308" t="s">
        <v>790</v>
      </c>
      <c r="G308" t="s">
        <v>791</v>
      </c>
      <c r="H308" s="1">
        <v>23149.7</v>
      </c>
      <c r="I308" t="s">
        <v>792</v>
      </c>
      <c r="J308" t="s">
        <v>422</v>
      </c>
      <c r="L308" t="s">
        <v>366</v>
      </c>
      <c r="M308" s="1">
        <v>0</v>
      </c>
      <c r="N308" s="1">
        <v>0</v>
      </c>
      <c r="O308" t="s">
        <v>36</v>
      </c>
      <c r="P308" t="s">
        <v>26</v>
      </c>
    </row>
    <row r="309" spans="1:16" x14ac:dyDescent="0.2">
      <c r="A309" t="s">
        <v>366</v>
      </c>
      <c r="B309" t="s">
        <v>367</v>
      </c>
      <c r="C309" t="s">
        <v>793</v>
      </c>
      <c r="D309" t="s">
        <v>794</v>
      </c>
      <c r="E309" t="s">
        <v>71</v>
      </c>
      <c r="F309" t="s">
        <v>731</v>
      </c>
      <c r="G309" t="s">
        <v>732</v>
      </c>
      <c r="H309" s="1">
        <v>16151.9</v>
      </c>
      <c r="I309" t="s">
        <v>795</v>
      </c>
      <c r="J309" t="s">
        <v>372</v>
      </c>
      <c r="L309" t="s">
        <v>366</v>
      </c>
      <c r="M309" s="1">
        <v>0</v>
      </c>
      <c r="N309" s="1">
        <v>0</v>
      </c>
      <c r="O309" t="s">
        <v>36</v>
      </c>
      <c r="P309" t="s">
        <v>26</v>
      </c>
    </row>
    <row r="310" spans="1:16" x14ac:dyDescent="0.2">
      <c r="A310" t="s">
        <v>366</v>
      </c>
      <c r="B310" t="s">
        <v>367</v>
      </c>
      <c r="C310" t="s">
        <v>796</v>
      </c>
      <c r="D310" t="s">
        <v>797</v>
      </c>
      <c r="E310" t="s">
        <v>71</v>
      </c>
      <c r="F310" t="s">
        <v>369</v>
      </c>
      <c r="G310" t="s">
        <v>370</v>
      </c>
      <c r="H310" s="1">
        <v>16251.4</v>
      </c>
      <c r="I310" t="s">
        <v>774</v>
      </c>
      <c r="J310" t="s">
        <v>372</v>
      </c>
      <c r="L310" t="s">
        <v>366</v>
      </c>
      <c r="M310" s="1">
        <v>0</v>
      </c>
      <c r="N310" s="1">
        <v>0</v>
      </c>
      <c r="O310" t="s">
        <v>36</v>
      </c>
      <c r="P310" t="s">
        <v>26</v>
      </c>
    </row>
    <row r="311" spans="1:16" x14ac:dyDescent="0.2">
      <c r="A311" t="s">
        <v>366</v>
      </c>
      <c r="B311" t="s">
        <v>367</v>
      </c>
      <c r="C311" t="s">
        <v>798</v>
      </c>
      <c r="D311" t="s">
        <v>799</v>
      </c>
      <c r="E311" t="s">
        <v>44</v>
      </c>
      <c r="F311" t="s">
        <v>800</v>
      </c>
      <c r="G311" t="s">
        <v>801</v>
      </c>
      <c r="H311" s="1">
        <v>21409.200000000001</v>
      </c>
      <c r="I311" t="s">
        <v>774</v>
      </c>
      <c r="J311" t="s">
        <v>372</v>
      </c>
      <c r="L311" t="s">
        <v>366</v>
      </c>
      <c r="M311" s="1">
        <v>0</v>
      </c>
      <c r="N311" s="1">
        <v>0</v>
      </c>
      <c r="O311" t="s">
        <v>36</v>
      </c>
      <c r="P311" t="s">
        <v>26</v>
      </c>
    </row>
    <row r="312" spans="1:16" x14ac:dyDescent="0.2">
      <c r="A312" t="s">
        <v>366</v>
      </c>
      <c r="B312" t="s">
        <v>367</v>
      </c>
      <c r="C312" t="s">
        <v>52</v>
      </c>
      <c r="D312" t="s">
        <v>802</v>
      </c>
      <c r="E312" t="s">
        <v>44</v>
      </c>
      <c r="F312" t="s">
        <v>786</v>
      </c>
      <c r="G312" t="s">
        <v>787</v>
      </c>
      <c r="H312" s="1">
        <v>39798</v>
      </c>
      <c r="I312" t="s">
        <v>803</v>
      </c>
      <c r="J312" t="s">
        <v>372</v>
      </c>
      <c r="L312" t="s">
        <v>366</v>
      </c>
      <c r="M312" s="1">
        <v>0</v>
      </c>
      <c r="N312" s="1">
        <v>0</v>
      </c>
      <c r="O312" t="s">
        <v>36</v>
      </c>
      <c r="P312" t="s">
        <v>26</v>
      </c>
    </row>
    <row r="313" spans="1:16" x14ac:dyDescent="0.2">
      <c r="A313" t="s">
        <v>366</v>
      </c>
      <c r="B313" t="s">
        <v>367</v>
      </c>
      <c r="C313" t="s">
        <v>42</v>
      </c>
      <c r="D313" t="s">
        <v>804</v>
      </c>
      <c r="E313" t="s">
        <v>44</v>
      </c>
      <c r="F313" t="s">
        <v>786</v>
      </c>
      <c r="G313" t="s">
        <v>787</v>
      </c>
      <c r="H313" s="1">
        <v>39798</v>
      </c>
      <c r="I313" t="s">
        <v>805</v>
      </c>
      <c r="J313" t="s">
        <v>372</v>
      </c>
      <c r="L313" t="s">
        <v>366</v>
      </c>
      <c r="M313" s="1">
        <v>0</v>
      </c>
      <c r="N313" s="1">
        <v>0</v>
      </c>
      <c r="O313" t="s">
        <v>36</v>
      </c>
      <c r="P313" t="s">
        <v>26</v>
      </c>
    </row>
    <row r="314" spans="1:16" x14ac:dyDescent="0.2">
      <c r="A314" t="s">
        <v>366</v>
      </c>
      <c r="B314" t="s">
        <v>367</v>
      </c>
      <c r="C314" t="s">
        <v>220</v>
      </c>
      <c r="D314" t="s">
        <v>806</v>
      </c>
      <c r="E314" t="s">
        <v>128</v>
      </c>
      <c r="F314" t="s">
        <v>807</v>
      </c>
      <c r="G314" t="s">
        <v>808</v>
      </c>
      <c r="H314" s="1">
        <v>3800</v>
      </c>
      <c r="I314" t="s">
        <v>759</v>
      </c>
      <c r="J314" t="s">
        <v>372</v>
      </c>
      <c r="L314" t="s">
        <v>366</v>
      </c>
      <c r="M314" s="1">
        <v>0</v>
      </c>
      <c r="N314" s="1">
        <v>0</v>
      </c>
      <c r="O314" t="s">
        <v>36</v>
      </c>
      <c r="P314" t="s">
        <v>26</v>
      </c>
    </row>
    <row r="315" spans="1:16" x14ac:dyDescent="0.2">
      <c r="A315" t="s">
        <v>366</v>
      </c>
      <c r="B315" t="s">
        <v>367</v>
      </c>
      <c r="C315" t="s">
        <v>809</v>
      </c>
      <c r="D315" t="s">
        <v>810</v>
      </c>
      <c r="E315" t="s">
        <v>128</v>
      </c>
      <c r="F315" t="s">
        <v>807</v>
      </c>
      <c r="G315" t="s">
        <v>808</v>
      </c>
      <c r="H315" s="1">
        <v>5320</v>
      </c>
      <c r="I315" t="s">
        <v>811</v>
      </c>
      <c r="J315" t="s">
        <v>372</v>
      </c>
      <c r="L315" t="s">
        <v>366</v>
      </c>
      <c r="M315" s="1">
        <v>0</v>
      </c>
      <c r="N315" s="1">
        <v>0</v>
      </c>
      <c r="O315" t="s">
        <v>36</v>
      </c>
      <c r="P315" t="s">
        <v>26</v>
      </c>
    </row>
    <row r="316" spans="1:16" x14ac:dyDescent="0.2">
      <c r="A316" t="s">
        <v>366</v>
      </c>
      <c r="B316" t="s">
        <v>367</v>
      </c>
      <c r="C316" t="s">
        <v>812</v>
      </c>
      <c r="D316" t="s">
        <v>813</v>
      </c>
      <c r="E316" t="s">
        <v>96</v>
      </c>
      <c r="F316" t="s">
        <v>731</v>
      </c>
      <c r="G316" t="s">
        <v>732</v>
      </c>
      <c r="H316" s="1">
        <v>32541.200000000001</v>
      </c>
      <c r="I316" t="s">
        <v>814</v>
      </c>
      <c r="J316" t="s">
        <v>372</v>
      </c>
      <c r="L316" t="s">
        <v>366</v>
      </c>
      <c r="M316" s="1">
        <v>0</v>
      </c>
      <c r="N316" s="1">
        <v>0</v>
      </c>
      <c r="O316" t="s">
        <v>36</v>
      </c>
      <c r="P316" t="s">
        <v>26</v>
      </c>
    </row>
    <row r="317" spans="1:16" x14ac:dyDescent="0.2">
      <c r="A317" t="s">
        <v>366</v>
      </c>
      <c r="B317" t="s">
        <v>367</v>
      </c>
      <c r="C317" t="s">
        <v>575</v>
      </c>
      <c r="D317" t="s">
        <v>815</v>
      </c>
      <c r="E317" t="s">
        <v>96</v>
      </c>
      <c r="F317" t="s">
        <v>752</v>
      </c>
      <c r="G317" t="s">
        <v>753</v>
      </c>
      <c r="H317" s="1">
        <v>5432.96</v>
      </c>
      <c r="I317" t="s">
        <v>816</v>
      </c>
      <c r="J317" t="s">
        <v>422</v>
      </c>
      <c r="L317" t="s">
        <v>366</v>
      </c>
      <c r="M317" s="1">
        <v>0</v>
      </c>
      <c r="N317" s="1">
        <v>0</v>
      </c>
      <c r="O317" t="s">
        <v>36</v>
      </c>
      <c r="P317" t="s">
        <v>26</v>
      </c>
    </row>
    <row r="318" spans="1:16" x14ac:dyDescent="0.2">
      <c r="A318" t="s">
        <v>366</v>
      </c>
      <c r="B318" t="s">
        <v>367</v>
      </c>
      <c r="C318" t="s">
        <v>817</v>
      </c>
      <c r="D318" t="s">
        <v>818</v>
      </c>
      <c r="E318" t="s">
        <v>96</v>
      </c>
      <c r="F318" t="s">
        <v>752</v>
      </c>
      <c r="G318" t="s">
        <v>753</v>
      </c>
      <c r="H318" s="1">
        <v>1782.69</v>
      </c>
      <c r="I318" t="s">
        <v>819</v>
      </c>
      <c r="J318" t="s">
        <v>422</v>
      </c>
      <c r="L318" t="s">
        <v>366</v>
      </c>
      <c r="M318" s="1">
        <v>0</v>
      </c>
      <c r="N318" s="1">
        <v>0</v>
      </c>
      <c r="O318" t="s">
        <v>36</v>
      </c>
      <c r="P318" t="s">
        <v>26</v>
      </c>
    </row>
    <row r="319" spans="1:16" x14ac:dyDescent="0.2">
      <c r="A319" t="s">
        <v>366</v>
      </c>
      <c r="B319" t="s">
        <v>367</v>
      </c>
      <c r="C319" t="s">
        <v>820</v>
      </c>
      <c r="D319" t="s">
        <v>821</v>
      </c>
      <c r="E319" t="s">
        <v>96</v>
      </c>
      <c r="F319" t="s">
        <v>731</v>
      </c>
      <c r="G319" t="s">
        <v>732</v>
      </c>
      <c r="H319" s="1">
        <v>9351.1</v>
      </c>
      <c r="I319" t="s">
        <v>822</v>
      </c>
      <c r="J319" t="s">
        <v>372</v>
      </c>
      <c r="L319" t="s">
        <v>366</v>
      </c>
      <c r="M319" s="1">
        <v>0</v>
      </c>
      <c r="N319" s="1">
        <v>0</v>
      </c>
      <c r="O319" t="s">
        <v>36</v>
      </c>
      <c r="P319" t="s">
        <v>26</v>
      </c>
    </row>
    <row r="320" spans="1:16" x14ac:dyDescent="0.2">
      <c r="A320" t="s">
        <v>366</v>
      </c>
      <c r="B320" t="s">
        <v>367</v>
      </c>
      <c r="C320" t="s">
        <v>288</v>
      </c>
      <c r="D320" t="s">
        <v>823</v>
      </c>
      <c r="E320" t="s">
        <v>96</v>
      </c>
      <c r="F320" t="s">
        <v>731</v>
      </c>
      <c r="G320" t="s">
        <v>732</v>
      </c>
      <c r="H320" s="1">
        <v>23592.400000000001</v>
      </c>
      <c r="I320" t="s">
        <v>824</v>
      </c>
      <c r="J320" t="s">
        <v>372</v>
      </c>
      <c r="L320" t="s">
        <v>366</v>
      </c>
      <c r="M320" s="1">
        <v>0</v>
      </c>
      <c r="N320" s="1">
        <v>0</v>
      </c>
      <c r="O320" t="s">
        <v>36</v>
      </c>
      <c r="P320" t="s">
        <v>26</v>
      </c>
    </row>
    <row r="321" spans="1:16" x14ac:dyDescent="0.2">
      <c r="A321" t="s">
        <v>366</v>
      </c>
      <c r="B321" t="s">
        <v>367</v>
      </c>
      <c r="C321" t="s">
        <v>825</v>
      </c>
      <c r="D321" t="s">
        <v>826</v>
      </c>
      <c r="E321" t="s">
        <v>96</v>
      </c>
      <c r="F321" t="s">
        <v>731</v>
      </c>
      <c r="G321" t="s">
        <v>732</v>
      </c>
      <c r="H321" s="1">
        <v>6811.12</v>
      </c>
      <c r="I321" t="s">
        <v>827</v>
      </c>
      <c r="J321" t="s">
        <v>372</v>
      </c>
      <c r="L321" t="s">
        <v>366</v>
      </c>
      <c r="M321" s="1">
        <v>0</v>
      </c>
      <c r="N321" s="1">
        <v>0</v>
      </c>
      <c r="O321" t="s">
        <v>36</v>
      </c>
      <c r="P321" t="s">
        <v>26</v>
      </c>
    </row>
    <row r="322" spans="1:16" x14ac:dyDescent="0.2">
      <c r="A322" t="s">
        <v>366</v>
      </c>
      <c r="B322" t="s">
        <v>367</v>
      </c>
      <c r="C322" t="s">
        <v>828</v>
      </c>
      <c r="D322" t="s">
        <v>829</v>
      </c>
      <c r="E322" t="s">
        <v>96</v>
      </c>
      <c r="F322" t="s">
        <v>731</v>
      </c>
      <c r="G322" t="s">
        <v>732</v>
      </c>
      <c r="H322" s="1">
        <v>6811.12</v>
      </c>
      <c r="I322" t="s">
        <v>827</v>
      </c>
      <c r="J322" t="s">
        <v>372</v>
      </c>
      <c r="L322" t="s">
        <v>366</v>
      </c>
      <c r="M322" s="1">
        <v>0</v>
      </c>
      <c r="N322" s="1">
        <v>0</v>
      </c>
      <c r="O322" t="s">
        <v>36</v>
      </c>
      <c r="P322" t="s">
        <v>26</v>
      </c>
    </row>
    <row r="323" spans="1:16" x14ac:dyDescent="0.2">
      <c r="A323" t="s">
        <v>366</v>
      </c>
      <c r="B323" t="s">
        <v>367</v>
      </c>
      <c r="C323" t="s">
        <v>720</v>
      </c>
      <c r="D323" t="s">
        <v>830</v>
      </c>
      <c r="E323" t="s">
        <v>96</v>
      </c>
      <c r="F323" t="s">
        <v>731</v>
      </c>
      <c r="G323" t="s">
        <v>732</v>
      </c>
      <c r="H323" s="1">
        <v>8135.3</v>
      </c>
      <c r="I323" t="s">
        <v>831</v>
      </c>
      <c r="J323" t="s">
        <v>372</v>
      </c>
      <c r="L323" t="s">
        <v>366</v>
      </c>
      <c r="M323" s="1">
        <v>0</v>
      </c>
      <c r="N323" s="1">
        <v>0</v>
      </c>
      <c r="O323" t="s">
        <v>36</v>
      </c>
      <c r="P323" t="s">
        <v>26</v>
      </c>
    </row>
    <row r="324" spans="1:16" x14ac:dyDescent="0.2">
      <c r="A324" t="s">
        <v>366</v>
      </c>
      <c r="B324" t="s">
        <v>367</v>
      </c>
      <c r="C324" t="s">
        <v>723</v>
      </c>
      <c r="D324" t="s">
        <v>832</v>
      </c>
      <c r="E324" t="s">
        <v>96</v>
      </c>
      <c r="F324" t="s">
        <v>731</v>
      </c>
      <c r="G324" t="s">
        <v>732</v>
      </c>
      <c r="H324" s="1">
        <v>17027.8</v>
      </c>
      <c r="I324" t="s">
        <v>833</v>
      </c>
      <c r="J324" t="s">
        <v>372</v>
      </c>
      <c r="L324" t="s">
        <v>366</v>
      </c>
      <c r="M324" s="1">
        <v>0</v>
      </c>
      <c r="N324" s="1">
        <v>0</v>
      </c>
      <c r="O324" t="s">
        <v>36</v>
      </c>
      <c r="P324" t="s">
        <v>26</v>
      </c>
    </row>
    <row r="325" spans="1:16" x14ac:dyDescent="0.2">
      <c r="A325" t="s">
        <v>366</v>
      </c>
      <c r="B325" t="s">
        <v>367</v>
      </c>
      <c r="C325" t="s">
        <v>834</v>
      </c>
      <c r="D325" t="s">
        <v>835</v>
      </c>
      <c r="E325" t="s">
        <v>96</v>
      </c>
      <c r="F325" t="s">
        <v>731</v>
      </c>
      <c r="G325" t="s">
        <v>732</v>
      </c>
      <c r="H325" s="1">
        <v>17002</v>
      </c>
      <c r="I325" t="s">
        <v>836</v>
      </c>
      <c r="J325" t="s">
        <v>372</v>
      </c>
      <c r="L325" t="s">
        <v>366</v>
      </c>
      <c r="M325" s="1">
        <v>0</v>
      </c>
      <c r="N325" s="1">
        <v>0</v>
      </c>
      <c r="O325" t="s">
        <v>36</v>
      </c>
      <c r="P325" t="s">
        <v>26</v>
      </c>
    </row>
    <row r="326" spans="1:16" x14ac:dyDescent="0.2">
      <c r="A326" t="s">
        <v>366</v>
      </c>
      <c r="B326" t="s">
        <v>367</v>
      </c>
      <c r="C326" t="s">
        <v>837</v>
      </c>
      <c r="D326" t="s">
        <v>838</v>
      </c>
      <c r="E326" t="s">
        <v>19</v>
      </c>
      <c r="F326" t="s">
        <v>800</v>
      </c>
      <c r="G326" t="s">
        <v>801</v>
      </c>
      <c r="H326" s="1">
        <v>28545.599999999999</v>
      </c>
      <c r="I326" t="s">
        <v>774</v>
      </c>
      <c r="J326" t="s">
        <v>372</v>
      </c>
      <c r="L326" t="s">
        <v>366</v>
      </c>
      <c r="M326" s="1">
        <v>0</v>
      </c>
      <c r="N326" s="1">
        <v>0</v>
      </c>
      <c r="O326" t="s">
        <v>36</v>
      </c>
      <c r="P326" t="s">
        <v>26</v>
      </c>
    </row>
    <row r="327" spans="1:16" x14ac:dyDescent="0.2">
      <c r="A327" t="s">
        <v>366</v>
      </c>
      <c r="B327" t="s">
        <v>367</v>
      </c>
      <c r="C327" t="s">
        <v>839</v>
      </c>
      <c r="D327" t="s">
        <v>840</v>
      </c>
      <c r="E327" t="s">
        <v>19</v>
      </c>
      <c r="F327" t="s">
        <v>740</v>
      </c>
      <c r="G327" t="s">
        <v>741</v>
      </c>
      <c r="H327" s="1">
        <v>54006.2</v>
      </c>
      <c r="I327" t="s">
        <v>841</v>
      </c>
      <c r="J327" t="s">
        <v>120</v>
      </c>
      <c r="L327" t="s">
        <v>366</v>
      </c>
      <c r="M327" s="1">
        <v>0</v>
      </c>
      <c r="N327" s="1">
        <v>0</v>
      </c>
      <c r="O327" t="s">
        <v>36</v>
      </c>
      <c r="P327" t="s">
        <v>26</v>
      </c>
    </row>
    <row r="328" spans="1:16" x14ac:dyDescent="0.2">
      <c r="A328" t="s">
        <v>366</v>
      </c>
      <c r="B328" t="s">
        <v>367</v>
      </c>
      <c r="C328" t="s">
        <v>842</v>
      </c>
      <c r="D328" t="s">
        <v>843</v>
      </c>
      <c r="E328" t="s">
        <v>19</v>
      </c>
      <c r="F328" t="s">
        <v>740</v>
      </c>
      <c r="G328" t="s">
        <v>741</v>
      </c>
      <c r="H328" s="1">
        <v>20771.599999999999</v>
      </c>
      <c r="I328" t="s">
        <v>844</v>
      </c>
      <c r="J328" t="s">
        <v>120</v>
      </c>
      <c r="L328" t="s">
        <v>366</v>
      </c>
      <c r="M328" s="1">
        <v>0</v>
      </c>
      <c r="N328" s="1">
        <v>0</v>
      </c>
      <c r="O328" t="s">
        <v>36</v>
      </c>
      <c r="P328" t="s">
        <v>26</v>
      </c>
    </row>
    <row r="329" spans="1:16" x14ac:dyDescent="0.2">
      <c r="A329" t="s">
        <v>366</v>
      </c>
      <c r="B329" t="s">
        <v>367</v>
      </c>
      <c r="C329" t="s">
        <v>845</v>
      </c>
      <c r="D329" t="s">
        <v>846</v>
      </c>
      <c r="E329" t="s">
        <v>19</v>
      </c>
      <c r="F329" t="s">
        <v>800</v>
      </c>
      <c r="G329" t="s">
        <v>801</v>
      </c>
      <c r="H329" s="1">
        <v>14272.8</v>
      </c>
      <c r="I329" t="s">
        <v>774</v>
      </c>
      <c r="J329" t="s">
        <v>372</v>
      </c>
      <c r="L329" t="s">
        <v>366</v>
      </c>
      <c r="M329" s="1">
        <v>0</v>
      </c>
      <c r="N329" s="1">
        <v>0</v>
      </c>
      <c r="O329" t="s">
        <v>36</v>
      </c>
      <c r="P329" t="s">
        <v>26</v>
      </c>
    </row>
    <row r="330" spans="1:16" x14ac:dyDescent="0.2">
      <c r="A330" t="s">
        <v>366</v>
      </c>
      <c r="B330" t="s">
        <v>367</v>
      </c>
      <c r="C330" t="s">
        <v>847</v>
      </c>
      <c r="D330" t="s">
        <v>848</v>
      </c>
      <c r="E330" t="s">
        <v>19</v>
      </c>
      <c r="F330" t="s">
        <v>740</v>
      </c>
      <c r="G330" t="s">
        <v>741</v>
      </c>
      <c r="H330" s="1">
        <v>35311.699999999997</v>
      </c>
      <c r="I330" t="s">
        <v>849</v>
      </c>
      <c r="J330" t="s">
        <v>120</v>
      </c>
      <c r="L330" t="s">
        <v>366</v>
      </c>
      <c r="M330" s="1">
        <v>0</v>
      </c>
      <c r="N330" s="1">
        <v>0</v>
      </c>
      <c r="O330" t="s">
        <v>36</v>
      </c>
      <c r="P330" t="s">
        <v>26</v>
      </c>
    </row>
    <row r="331" spans="1:16" x14ac:dyDescent="0.2">
      <c r="A331" t="s">
        <v>50</v>
      </c>
      <c r="B331" t="s">
        <v>379</v>
      </c>
      <c r="C331" t="s">
        <v>605</v>
      </c>
      <c r="D331">
        <v>53700007517</v>
      </c>
      <c r="E331" t="s">
        <v>192</v>
      </c>
      <c r="F331" t="s">
        <v>20</v>
      </c>
      <c r="G331" t="s">
        <v>21</v>
      </c>
      <c r="H331" s="1">
        <v>-305.67</v>
      </c>
      <c r="I331" t="s">
        <v>850</v>
      </c>
      <c r="J331" t="s">
        <v>23</v>
      </c>
      <c r="L331" t="s">
        <v>24</v>
      </c>
      <c r="M331" s="1">
        <v>0</v>
      </c>
      <c r="N331" s="1">
        <v>0</v>
      </c>
      <c r="O331" t="s">
        <v>382</v>
      </c>
      <c r="P331" t="s">
        <v>26</v>
      </c>
    </row>
    <row r="332" spans="1:16" x14ac:dyDescent="0.2">
      <c r="A332" t="s">
        <v>50</v>
      </c>
      <c r="B332" t="s">
        <v>379</v>
      </c>
      <c r="C332" t="s">
        <v>851</v>
      </c>
      <c r="D332">
        <v>53700006117</v>
      </c>
      <c r="E332" t="s">
        <v>38</v>
      </c>
      <c r="F332" t="s">
        <v>20</v>
      </c>
      <c r="G332" t="s">
        <v>21</v>
      </c>
      <c r="H332" s="1">
        <v>71.06</v>
      </c>
      <c r="I332" t="s">
        <v>852</v>
      </c>
      <c r="J332" t="s">
        <v>23</v>
      </c>
      <c r="L332" t="s">
        <v>24</v>
      </c>
      <c r="M332" s="1">
        <v>0</v>
      </c>
      <c r="N332" s="1">
        <v>0</v>
      </c>
      <c r="O332" t="s">
        <v>382</v>
      </c>
      <c r="P332" t="s">
        <v>26</v>
      </c>
    </row>
    <row r="333" spans="1:16" x14ac:dyDescent="0.2">
      <c r="A333" t="s">
        <v>50</v>
      </c>
      <c r="B333" t="s">
        <v>379</v>
      </c>
      <c r="C333" t="s">
        <v>853</v>
      </c>
      <c r="D333">
        <v>53700008021</v>
      </c>
      <c r="E333" t="s">
        <v>38</v>
      </c>
      <c r="F333" t="s">
        <v>20</v>
      </c>
      <c r="G333" t="s">
        <v>21</v>
      </c>
      <c r="H333" s="1">
        <v>20986.1</v>
      </c>
      <c r="I333" t="s">
        <v>854</v>
      </c>
      <c r="J333" t="s">
        <v>23</v>
      </c>
      <c r="L333" t="s">
        <v>24</v>
      </c>
      <c r="M333" s="1">
        <v>0</v>
      </c>
      <c r="N333" s="1">
        <v>0</v>
      </c>
      <c r="O333" t="s">
        <v>382</v>
      </c>
      <c r="P333" t="s">
        <v>26</v>
      </c>
    </row>
    <row r="334" spans="1:16" x14ac:dyDescent="0.2">
      <c r="A334" t="s">
        <v>50</v>
      </c>
      <c r="B334" t="s">
        <v>379</v>
      </c>
      <c r="C334" t="s">
        <v>855</v>
      </c>
      <c r="D334">
        <v>53700006547</v>
      </c>
      <c r="E334" t="s">
        <v>38</v>
      </c>
      <c r="F334" t="s">
        <v>20</v>
      </c>
      <c r="G334" t="s">
        <v>21</v>
      </c>
      <c r="H334" s="1">
        <v>61.8</v>
      </c>
      <c r="I334" t="s">
        <v>856</v>
      </c>
      <c r="J334" t="s">
        <v>23</v>
      </c>
      <c r="L334" t="s">
        <v>24</v>
      </c>
      <c r="M334" s="1">
        <v>0</v>
      </c>
      <c r="N334" s="1">
        <v>0</v>
      </c>
      <c r="O334" t="s">
        <v>382</v>
      </c>
      <c r="P334" t="s">
        <v>26</v>
      </c>
    </row>
    <row r="335" spans="1:16" x14ac:dyDescent="0.2">
      <c r="A335" t="s">
        <v>50</v>
      </c>
      <c r="B335" t="s">
        <v>379</v>
      </c>
      <c r="C335" t="s">
        <v>473</v>
      </c>
      <c r="D335">
        <v>53700011287</v>
      </c>
      <c r="E335" t="s">
        <v>38</v>
      </c>
      <c r="F335" t="s">
        <v>20</v>
      </c>
      <c r="G335" t="s">
        <v>21</v>
      </c>
      <c r="H335" s="1">
        <v>1004.54</v>
      </c>
      <c r="I335" t="s">
        <v>857</v>
      </c>
      <c r="J335" t="s">
        <v>23</v>
      </c>
      <c r="L335" t="s">
        <v>24</v>
      </c>
      <c r="M335" s="1">
        <v>0</v>
      </c>
      <c r="N335" s="1">
        <v>0</v>
      </c>
      <c r="O335" t="s">
        <v>382</v>
      </c>
      <c r="P335" t="s">
        <v>26</v>
      </c>
    </row>
    <row r="336" spans="1:16" x14ac:dyDescent="0.2">
      <c r="A336" t="s">
        <v>50</v>
      </c>
      <c r="B336" t="s">
        <v>379</v>
      </c>
      <c r="C336" t="s">
        <v>858</v>
      </c>
      <c r="D336">
        <v>53700007589</v>
      </c>
      <c r="E336" t="s">
        <v>38</v>
      </c>
      <c r="F336" t="s">
        <v>403</v>
      </c>
      <c r="G336" t="s">
        <v>404</v>
      </c>
      <c r="H336" s="1">
        <v>29247.1</v>
      </c>
      <c r="I336" t="s">
        <v>859</v>
      </c>
      <c r="J336" t="s">
        <v>56</v>
      </c>
      <c r="L336" t="s">
        <v>40</v>
      </c>
      <c r="M336" s="1">
        <v>0</v>
      </c>
      <c r="N336" s="1">
        <v>0</v>
      </c>
      <c r="O336" t="s">
        <v>382</v>
      </c>
      <c r="P336" t="s">
        <v>26</v>
      </c>
    </row>
    <row r="337" spans="1:16" x14ac:dyDescent="0.2">
      <c r="A337" t="s">
        <v>50</v>
      </c>
      <c r="B337" t="s">
        <v>379</v>
      </c>
      <c r="C337" t="s">
        <v>489</v>
      </c>
      <c r="D337">
        <v>53700008674</v>
      </c>
      <c r="E337" t="s">
        <v>71</v>
      </c>
      <c r="F337" t="s">
        <v>20</v>
      </c>
      <c r="G337" t="s">
        <v>21</v>
      </c>
      <c r="H337" s="1">
        <v>4772.2299999999996</v>
      </c>
      <c r="I337" t="s">
        <v>490</v>
      </c>
      <c r="J337" t="s">
        <v>23</v>
      </c>
      <c r="L337" t="s">
        <v>24</v>
      </c>
      <c r="M337" s="1">
        <v>0</v>
      </c>
      <c r="N337" s="1">
        <v>0</v>
      </c>
      <c r="O337" t="s">
        <v>382</v>
      </c>
      <c r="P337" t="s">
        <v>26</v>
      </c>
    </row>
    <row r="338" spans="1:16" x14ac:dyDescent="0.2">
      <c r="A338" t="s">
        <v>50</v>
      </c>
      <c r="B338" t="s">
        <v>379</v>
      </c>
      <c r="C338" t="s">
        <v>860</v>
      </c>
      <c r="D338">
        <v>53700010877</v>
      </c>
      <c r="E338" t="s">
        <v>71</v>
      </c>
      <c r="F338" t="s">
        <v>20</v>
      </c>
      <c r="G338" t="s">
        <v>21</v>
      </c>
      <c r="H338" s="1">
        <v>305.98</v>
      </c>
      <c r="I338" t="s">
        <v>861</v>
      </c>
      <c r="J338" t="s">
        <v>23</v>
      </c>
      <c r="L338" t="s">
        <v>24</v>
      </c>
      <c r="M338" s="1">
        <v>0</v>
      </c>
      <c r="N338" s="1">
        <v>0</v>
      </c>
      <c r="O338" t="s">
        <v>382</v>
      </c>
      <c r="P338" t="s">
        <v>26</v>
      </c>
    </row>
    <row r="339" spans="1:16" x14ac:dyDescent="0.2">
      <c r="A339" t="s">
        <v>50</v>
      </c>
      <c r="B339" t="s">
        <v>379</v>
      </c>
      <c r="C339" t="s">
        <v>497</v>
      </c>
      <c r="D339">
        <v>53700010844</v>
      </c>
      <c r="E339" t="s">
        <v>71</v>
      </c>
      <c r="F339" t="s">
        <v>20</v>
      </c>
      <c r="G339" t="s">
        <v>21</v>
      </c>
      <c r="H339" s="1">
        <v>120.61</v>
      </c>
      <c r="I339" t="s">
        <v>862</v>
      </c>
      <c r="J339" t="s">
        <v>23</v>
      </c>
      <c r="L339" t="s">
        <v>24</v>
      </c>
      <c r="M339" s="1">
        <v>0</v>
      </c>
      <c r="N339" s="1">
        <v>0</v>
      </c>
      <c r="O339" t="s">
        <v>382</v>
      </c>
      <c r="P339" t="s">
        <v>26</v>
      </c>
    </row>
    <row r="340" spans="1:16" x14ac:dyDescent="0.2">
      <c r="A340" t="s">
        <v>50</v>
      </c>
      <c r="B340" t="s">
        <v>379</v>
      </c>
      <c r="C340" t="s">
        <v>863</v>
      </c>
      <c r="D340">
        <v>53700007857</v>
      </c>
      <c r="E340" t="s">
        <v>71</v>
      </c>
      <c r="F340" t="s">
        <v>20</v>
      </c>
      <c r="G340" t="s">
        <v>21</v>
      </c>
      <c r="H340" s="1">
        <v>1755.64</v>
      </c>
      <c r="I340" t="s">
        <v>864</v>
      </c>
      <c r="J340" t="s">
        <v>23</v>
      </c>
      <c r="L340" t="s">
        <v>24</v>
      </c>
      <c r="M340" s="1">
        <v>0</v>
      </c>
      <c r="N340" s="1">
        <v>0</v>
      </c>
      <c r="O340" t="s">
        <v>382</v>
      </c>
      <c r="P340" t="s">
        <v>26</v>
      </c>
    </row>
    <row r="341" spans="1:16" x14ac:dyDescent="0.2">
      <c r="A341" t="s">
        <v>50</v>
      </c>
      <c r="B341" t="s">
        <v>379</v>
      </c>
      <c r="C341" t="s">
        <v>865</v>
      </c>
      <c r="D341">
        <v>53700006843</v>
      </c>
      <c r="E341" t="s">
        <v>71</v>
      </c>
      <c r="F341" t="s">
        <v>20</v>
      </c>
      <c r="G341" t="s">
        <v>21</v>
      </c>
      <c r="H341" s="1">
        <v>8789.67</v>
      </c>
      <c r="I341" t="s">
        <v>866</v>
      </c>
      <c r="J341" t="s">
        <v>23</v>
      </c>
      <c r="L341" t="s">
        <v>24</v>
      </c>
      <c r="M341" s="1">
        <v>0</v>
      </c>
      <c r="N341" s="1">
        <v>0</v>
      </c>
      <c r="O341" t="s">
        <v>382</v>
      </c>
      <c r="P341" t="s">
        <v>26</v>
      </c>
    </row>
    <row r="342" spans="1:16" x14ac:dyDescent="0.2">
      <c r="A342" t="s">
        <v>50</v>
      </c>
      <c r="B342" t="s">
        <v>379</v>
      </c>
      <c r="C342" t="s">
        <v>44</v>
      </c>
      <c r="D342">
        <v>53700009908</v>
      </c>
      <c r="E342" t="s">
        <v>44</v>
      </c>
      <c r="F342" t="s">
        <v>403</v>
      </c>
      <c r="G342" t="s">
        <v>404</v>
      </c>
      <c r="H342" s="1">
        <v>15220.4</v>
      </c>
      <c r="I342" t="s">
        <v>512</v>
      </c>
      <c r="J342" t="s">
        <v>56</v>
      </c>
      <c r="L342" t="s">
        <v>40</v>
      </c>
      <c r="M342" s="1">
        <v>0</v>
      </c>
      <c r="N342" s="1">
        <v>0</v>
      </c>
      <c r="O342" t="s">
        <v>382</v>
      </c>
      <c r="P342" t="s">
        <v>26</v>
      </c>
    </row>
    <row r="343" spans="1:16" x14ac:dyDescent="0.2">
      <c r="A343" t="s">
        <v>50</v>
      </c>
      <c r="B343" t="s">
        <v>379</v>
      </c>
      <c r="C343" t="s">
        <v>867</v>
      </c>
      <c r="D343">
        <v>53700009958</v>
      </c>
      <c r="E343" t="s">
        <v>44</v>
      </c>
      <c r="F343" t="s">
        <v>20</v>
      </c>
      <c r="G343" t="s">
        <v>21</v>
      </c>
      <c r="H343" s="1">
        <v>6759.27</v>
      </c>
      <c r="I343" t="s">
        <v>868</v>
      </c>
      <c r="J343" t="s">
        <v>23</v>
      </c>
      <c r="L343" t="s">
        <v>24</v>
      </c>
      <c r="M343" s="1">
        <v>0</v>
      </c>
      <c r="N343" s="1">
        <v>0</v>
      </c>
      <c r="O343" t="s">
        <v>382</v>
      </c>
      <c r="P343" t="s">
        <v>26</v>
      </c>
    </row>
    <row r="344" spans="1:16" x14ac:dyDescent="0.2">
      <c r="A344" t="s">
        <v>50</v>
      </c>
      <c r="B344" t="s">
        <v>379</v>
      </c>
      <c r="C344" t="s">
        <v>869</v>
      </c>
      <c r="D344">
        <v>53700008432</v>
      </c>
      <c r="E344" t="s">
        <v>128</v>
      </c>
      <c r="F344" t="s">
        <v>403</v>
      </c>
      <c r="G344" t="s">
        <v>404</v>
      </c>
      <c r="H344" s="1">
        <v>43234</v>
      </c>
      <c r="I344" t="s">
        <v>870</v>
      </c>
      <c r="J344" t="s">
        <v>56</v>
      </c>
      <c r="L344" t="s">
        <v>40</v>
      </c>
      <c r="M344" s="1">
        <v>0</v>
      </c>
      <c r="N344" s="1">
        <v>0</v>
      </c>
      <c r="O344" t="s">
        <v>382</v>
      </c>
      <c r="P344" t="s">
        <v>26</v>
      </c>
    </row>
    <row r="345" spans="1:16" x14ac:dyDescent="0.2">
      <c r="A345" t="s">
        <v>50</v>
      </c>
      <c r="B345" t="s">
        <v>379</v>
      </c>
      <c r="C345" t="s">
        <v>871</v>
      </c>
      <c r="D345">
        <v>53700012747</v>
      </c>
      <c r="E345" t="s">
        <v>19</v>
      </c>
      <c r="F345" t="s">
        <v>20</v>
      </c>
      <c r="G345" t="s">
        <v>21</v>
      </c>
      <c r="H345" s="1">
        <v>280.64999999999998</v>
      </c>
      <c r="I345" t="s">
        <v>413</v>
      </c>
      <c r="J345" t="s">
        <v>23</v>
      </c>
      <c r="L345" t="s">
        <v>24</v>
      </c>
      <c r="M345" s="1">
        <v>0</v>
      </c>
      <c r="N345" s="1">
        <v>0</v>
      </c>
      <c r="O345" t="s">
        <v>382</v>
      </c>
      <c r="P345" t="s">
        <v>26</v>
      </c>
    </row>
    <row r="346" spans="1:16" x14ac:dyDescent="0.2">
      <c r="A346" t="s">
        <v>50</v>
      </c>
      <c r="B346" t="s">
        <v>379</v>
      </c>
      <c r="C346" t="s">
        <v>872</v>
      </c>
      <c r="D346">
        <v>53700010960</v>
      </c>
      <c r="E346" t="s">
        <v>19</v>
      </c>
      <c r="F346" t="s">
        <v>20</v>
      </c>
      <c r="G346" t="s">
        <v>21</v>
      </c>
      <c r="H346" s="1">
        <v>-49.55</v>
      </c>
      <c r="I346" t="s">
        <v>873</v>
      </c>
      <c r="J346" t="s">
        <v>23</v>
      </c>
      <c r="L346" t="s">
        <v>24</v>
      </c>
      <c r="M346" s="1">
        <v>0</v>
      </c>
      <c r="N346" s="1">
        <v>-12224.09</v>
      </c>
      <c r="O346" t="s">
        <v>382</v>
      </c>
      <c r="P346" t="s">
        <v>26</v>
      </c>
    </row>
    <row r="347" spans="1:16" x14ac:dyDescent="0.2">
      <c r="A347" t="s">
        <v>50</v>
      </c>
      <c r="B347" t="s">
        <v>379</v>
      </c>
      <c r="C347" t="s">
        <v>874</v>
      </c>
      <c r="D347">
        <v>53700010961</v>
      </c>
      <c r="E347" t="s">
        <v>19</v>
      </c>
      <c r="F347" t="s">
        <v>875</v>
      </c>
      <c r="G347" t="s">
        <v>876</v>
      </c>
      <c r="H347" s="1">
        <v>135713</v>
      </c>
      <c r="I347" t="s">
        <v>873</v>
      </c>
      <c r="M347" s="1">
        <v>0</v>
      </c>
      <c r="N347" s="1">
        <v>-6032</v>
      </c>
      <c r="O347" t="s">
        <v>382</v>
      </c>
      <c r="P347" t="s">
        <v>26</v>
      </c>
    </row>
    <row r="348" spans="1:16" x14ac:dyDescent="0.2">
      <c r="A348" t="s">
        <v>50</v>
      </c>
      <c r="B348" t="s">
        <v>379</v>
      </c>
      <c r="C348" t="s">
        <v>877</v>
      </c>
      <c r="D348">
        <v>53700013815</v>
      </c>
      <c r="E348" t="s">
        <v>19</v>
      </c>
      <c r="F348" t="s">
        <v>20</v>
      </c>
      <c r="G348" t="s">
        <v>21</v>
      </c>
      <c r="H348" s="1">
        <v>1859</v>
      </c>
      <c r="I348" t="s">
        <v>878</v>
      </c>
      <c r="J348" t="s">
        <v>23</v>
      </c>
      <c r="L348" t="s">
        <v>24</v>
      </c>
      <c r="M348" s="1">
        <v>0</v>
      </c>
      <c r="N348" s="1">
        <v>0</v>
      </c>
      <c r="O348" t="s">
        <v>382</v>
      </c>
      <c r="P348" t="s">
        <v>26</v>
      </c>
    </row>
    <row r="349" spans="1:16" x14ac:dyDescent="0.2">
      <c r="A349" t="s">
        <v>50</v>
      </c>
      <c r="B349" t="s">
        <v>379</v>
      </c>
      <c r="C349" t="s">
        <v>847</v>
      </c>
      <c r="D349">
        <v>53700013814</v>
      </c>
      <c r="E349" t="s">
        <v>19</v>
      </c>
      <c r="F349" t="s">
        <v>20</v>
      </c>
      <c r="G349" t="s">
        <v>21</v>
      </c>
      <c r="H349" s="1">
        <v>5456.43</v>
      </c>
      <c r="I349" t="s">
        <v>878</v>
      </c>
      <c r="J349" t="s">
        <v>23</v>
      </c>
      <c r="L349" t="s">
        <v>24</v>
      </c>
      <c r="M349" s="1">
        <v>0</v>
      </c>
      <c r="N349" s="1">
        <v>0</v>
      </c>
      <c r="O349" t="s">
        <v>382</v>
      </c>
      <c r="P349" t="s">
        <v>26</v>
      </c>
    </row>
    <row r="350" spans="1:16" x14ac:dyDescent="0.2">
      <c r="A350" t="s">
        <v>50</v>
      </c>
      <c r="B350" t="s">
        <v>379</v>
      </c>
      <c r="C350" t="s">
        <v>879</v>
      </c>
      <c r="D350">
        <v>53700009169</v>
      </c>
      <c r="E350" t="s">
        <v>203</v>
      </c>
      <c r="F350" t="s">
        <v>20</v>
      </c>
      <c r="G350" t="s">
        <v>21</v>
      </c>
      <c r="H350" s="1">
        <v>27687.4</v>
      </c>
      <c r="I350" t="s">
        <v>545</v>
      </c>
      <c r="J350" t="s">
        <v>23</v>
      </c>
      <c r="L350" t="s">
        <v>24</v>
      </c>
      <c r="M350" s="1">
        <v>0</v>
      </c>
      <c r="N350" s="1">
        <v>0</v>
      </c>
      <c r="O350" t="s">
        <v>382</v>
      </c>
      <c r="P350" t="s">
        <v>26</v>
      </c>
    </row>
    <row r="351" spans="1:16" x14ac:dyDescent="0.2">
      <c r="B351" t="s">
        <v>379</v>
      </c>
      <c r="C351" t="s">
        <v>230</v>
      </c>
      <c r="D351">
        <v>53700006983</v>
      </c>
      <c r="H351" s="1"/>
      <c r="M351" s="1">
        <v>0</v>
      </c>
      <c r="N351" s="1">
        <v>-11692.47</v>
      </c>
      <c r="O351" t="s">
        <v>382</v>
      </c>
      <c r="P351" t="s">
        <v>26</v>
      </c>
    </row>
    <row r="352" spans="1:16" x14ac:dyDescent="0.2">
      <c r="B352" t="s">
        <v>379</v>
      </c>
      <c r="C352" t="s">
        <v>880</v>
      </c>
      <c r="D352">
        <v>53700008605</v>
      </c>
      <c r="H352" s="1"/>
      <c r="M352" s="1">
        <v>0</v>
      </c>
      <c r="N352" s="1">
        <v>-88616.79</v>
      </c>
      <c r="O352" t="s">
        <v>382</v>
      </c>
      <c r="P352" t="s">
        <v>26</v>
      </c>
    </row>
    <row r="353" spans="1:16" x14ac:dyDescent="0.2">
      <c r="A353" t="s">
        <v>603</v>
      </c>
      <c r="B353" t="s">
        <v>881</v>
      </c>
      <c r="C353" t="s">
        <v>882</v>
      </c>
      <c r="D353">
        <v>145</v>
      </c>
      <c r="E353" t="s">
        <v>38</v>
      </c>
      <c r="F353" t="s">
        <v>883</v>
      </c>
      <c r="G353" t="s">
        <v>884</v>
      </c>
      <c r="H353" s="1">
        <v>12684</v>
      </c>
      <c r="I353" t="s">
        <v>885</v>
      </c>
      <c r="J353" t="s">
        <v>148</v>
      </c>
      <c r="L353" t="s">
        <v>603</v>
      </c>
      <c r="M353" s="1">
        <v>0</v>
      </c>
      <c r="N353" s="1">
        <v>0</v>
      </c>
      <c r="O353" t="s">
        <v>886</v>
      </c>
      <c r="P353" t="s">
        <v>26</v>
      </c>
    </row>
    <row r="354" spans="1:16" x14ac:dyDescent="0.2">
      <c r="A354" t="s">
        <v>887</v>
      </c>
      <c r="B354" t="s">
        <v>888</v>
      </c>
      <c r="C354" t="s">
        <v>889</v>
      </c>
      <c r="D354">
        <v>75386</v>
      </c>
      <c r="E354" t="s">
        <v>38</v>
      </c>
      <c r="F354" t="s">
        <v>890</v>
      </c>
      <c r="G354" t="s">
        <v>891</v>
      </c>
      <c r="H354" s="1">
        <v>27960.5</v>
      </c>
      <c r="I354" t="s">
        <v>892</v>
      </c>
      <c r="J354" t="s">
        <v>148</v>
      </c>
      <c r="L354" t="s">
        <v>887</v>
      </c>
      <c r="M354" s="1">
        <v>0</v>
      </c>
      <c r="N354" s="1">
        <v>0</v>
      </c>
      <c r="O354" t="s">
        <v>610</v>
      </c>
      <c r="P354" t="s">
        <v>26</v>
      </c>
    </row>
    <row r="355" spans="1:16" x14ac:dyDescent="0.2">
      <c r="A355" t="s">
        <v>110</v>
      </c>
      <c r="B355" t="s">
        <v>893</v>
      </c>
      <c r="C355" t="s">
        <v>894</v>
      </c>
      <c r="D355" t="s">
        <v>895</v>
      </c>
      <c r="E355" t="s">
        <v>192</v>
      </c>
      <c r="F355" t="s">
        <v>241</v>
      </c>
      <c r="G355" t="s">
        <v>242</v>
      </c>
      <c r="H355" s="1">
        <v>38983.9</v>
      </c>
      <c r="I355" t="s">
        <v>896</v>
      </c>
      <c r="J355" t="s">
        <v>148</v>
      </c>
      <c r="L355" t="s">
        <v>110</v>
      </c>
      <c r="M355" s="1">
        <v>0</v>
      </c>
      <c r="N355" s="1">
        <v>0</v>
      </c>
      <c r="O355" t="s">
        <v>261</v>
      </c>
      <c r="P355" t="s">
        <v>26</v>
      </c>
    </row>
    <row r="356" spans="1:16" x14ac:dyDescent="0.2">
      <c r="A356" t="s">
        <v>110</v>
      </c>
      <c r="B356" t="s">
        <v>893</v>
      </c>
      <c r="C356" t="s">
        <v>126</v>
      </c>
      <c r="D356" t="s">
        <v>897</v>
      </c>
      <c r="E356" t="s">
        <v>128</v>
      </c>
      <c r="F356" t="s">
        <v>241</v>
      </c>
      <c r="G356" t="s">
        <v>242</v>
      </c>
      <c r="H356" s="1">
        <v>312149</v>
      </c>
      <c r="I356" t="s">
        <v>898</v>
      </c>
      <c r="J356" t="s">
        <v>148</v>
      </c>
      <c r="L356" t="s">
        <v>110</v>
      </c>
      <c r="M356" s="1">
        <v>0</v>
      </c>
      <c r="N356" s="1">
        <v>0</v>
      </c>
      <c r="O356" t="s">
        <v>261</v>
      </c>
      <c r="P356" t="s">
        <v>26</v>
      </c>
    </row>
    <row r="357" spans="1:16" x14ac:dyDescent="0.2">
      <c r="B357" t="s">
        <v>893</v>
      </c>
      <c r="C357" t="s">
        <v>899</v>
      </c>
      <c r="D357" t="s">
        <v>900</v>
      </c>
      <c r="H357" s="1"/>
      <c r="M357" s="1">
        <v>0</v>
      </c>
      <c r="N357" s="1">
        <v>-698146.83</v>
      </c>
      <c r="O357" t="s">
        <v>261</v>
      </c>
      <c r="P357" t="s">
        <v>26</v>
      </c>
    </row>
    <row r="358" spans="1:16" x14ac:dyDescent="0.2">
      <c r="A358" t="s">
        <v>887</v>
      </c>
      <c r="B358" t="s">
        <v>901</v>
      </c>
      <c r="C358" t="s">
        <v>902</v>
      </c>
      <c r="D358" t="s">
        <v>903</v>
      </c>
      <c r="E358" t="s">
        <v>192</v>
      </c>
      <c r="F358" t="s">
        <v>904</v>
      </c>
      <c r="G358" t="s">
        <v>905</v>
      </c>
      <c r="H358" s="1">
        <v>27600</v>
      </c>
      <c r="I358" t="s">
        <v>906</v>
      </c>
      <c r="J358" t="s">
        <v>148</v>
      </c>
      <c r="L358" t="s">
        <v>887</v>
      </c>
      <c r="M358" s="1">
        <v>0</v>
      </c>
      <c r="N358" s="1">
        <v>0</v>
      </c>
      <c r="O358" t="s">
        <v>907</v>
      </c>
      <c r="P358" t="s">
        <v>26</v>
      </c>
    </row>
    <row r="359" spans="1:16" x14ac:dyDescent="0.2">
      <c r="A359" t="s">
        <v>887</v>
      </c>
      <c r="B359" t="s">
        <v>901</v>
      </c>
      <c r="C359" t="s">
        <v>676</v>
      </c>
      <c r="D359">
        <v>67851</v>
      </c>
      <c r="E359" t="s">
        <v>38</v>
      </c>
      <c r="F359" t="s">
        <v>908</v>
      </c>
      <c r="G359" t="s">
        <v>901</v>
      </c>
      <c r="H359" s="1">
        <v>68242.5</v>
      </c>
      <c r="I359" t="s">
        <v>909</v>
      </c>
      <c r="J359" t="s">
        <v>148</v>
      </c>
      <c r="L359" t="s">
        <v>887</v>
      </c>
      <c r="M359" s="1">
        <v>0</v>
      </c>
      <c r="N359" s="1">
        <v>0</v>
      </c>
      <c r="O359" t="s">
        <v>907</v>
      </c>
      <c r="P359" t="s">
        <v>26</v>
      </c>
    </row>
    <row r="360" spans="1:16" x14ac:dyDescent="0.2">
      <c r="A360" t="s">
        <v>887</v>
      </c>
      <c r="B360" t="s">
        <v>901</v>
      </c>
      <c r="C360" t="s">
        <v>910</v>
      </c>
      <c r="D360" t="s">
        <v>911</v>
      </c>
      <c r="E360" t="s">
        <v>38</v>
      </c>
      <c r="F360" t="s">
        <v>908</v>
      </c>
      <c r="G360" t="s">
        <v>901</v>
      </c>
      <c r="H360" s="1">
        <v>8735.0400000000009</v>
      </c>
      <c r="I360" t="s">
        <v>678</v>
      </c>
      <c r="J360" t="s">
        <v>148</v>
      </c>
      <c r="L360" t="s">
        <v>887</v>
      </c>
      <c r="M360" s="1">
        <v>0</v>
      </c>
      <c r="N360" s="1">
        <v>0</v>
      </c>
      <c r="O360" t="s">
        <v>907</v>
      </c>
      <c r="P360" t="s">
        <v>26</v>
      </c>
    </row>
    <row r="361" spans="1:16" x14ac:dyDescent="0.2">
      <c r="A361" t="s">
        <v>141</v>
      </c>
      <c r="B361" t="s">
        <v>142</v>
      </c>
      <c r="C361" t="s">
        <v>912</v>
      </c>
      <c r="D361" t="s">
        <v>913</v>
      </c>
      <c r="E361" t="s">
        <v>256</v>
      </c>
      <c r="F361" t="s">
        <v>145</v>
      </c>
      <c r="G361" t="s">
        <v>146</v>
      </c>
      <c r="H361" s="1">
        <v>25070</v>
      </c>
      <c r="I361" t="s">
        <v>914</v>
      </c>
      <c r="J361" t="s">
        <v>148</v>
      </c>
      <c r="L361" t="s">
        <v>141</v>
      </c>
      <c r="M361" s="1">
        <v>0</v>
      </c>
      <c r="N361" s="1">
        <v>0</v>
      </c>
      <c r="O361" t="s">
        <v>113</v>
      </c>
      <c r="P361" t="s">
        <v>26</v>
      </c>
    </row>
    <row r="362" spans="1:16" x14ac:dyDescent="0.2">
      <c r="A362" t="s">
        <v>141</v>
      </c>
      <c r="B362" t="s">
        <v>142</v>
      </c>
      <c r="C362" t="s">
        <v>356</v>
      </c>
      <c r="D362" t="s">
        <v>915</v>
      </c>
      <c r="E362" t="s">
        <v>256</v>
      </c>
      <c r="F362" t="s">
        <v>145</v>
      </c>
      <c r="G362" t="s">
        <v>146</v>
      </c>
      <c r="H362" s="1">
        <v>104640</v>
      </c>
      <c r="I362" t="s">
        <v>916</v>
      </c>
      <c r="J362" t="s">
        <v>148</v>
      </c>
      <c r="L362" t="s">
        <v>141</v>
      </c>
      <c r="M362" s="1">
        <v>0</v>
      </c>
      <c r="N362" s="1">
        <v>0</v>
      </c>
      <c r="O362" t="s">
        <v>113</v>
      </c>
      <c r="P362" t="s">
        <v>26</v>
      </c>
    </row>
    <row r="363" spans="1:16" x14ac:dyDescent="0.2">
      <c r="A363" t="s">
        <v>141</v>
      </c>
      <c r="B363" t="s">
        <v>142</v>
      </c>
      <c r="C363" t="s">
        <v>917</v>
      </c>
      <c r="D363" t="s">
        <v>918</v>
      </c>
      <c r="E363" t="s">
        <v>192</v>
      </c>
      <c r="F363" t="s">
        <v>145</v>
      </c>
      <c r="G363" t="s">
        <v>146</v>
      </c>
      <c r="H363" s="1">
        <v>124260</v>
      </c>
      <c r="I363" t="s">
        <v>919</v>
      </c>
      <c r="J363" t="s">
        <v>148</v>
      </c>
      <c r="L363" t="s">
        <v>141</v>
      </c>
      <c r="M363" s="1">
        <v>0</v>
      </c>
      <c r="N363" s="1">
        <v>0</v>
      </c>
      <c r="O363" t="s">
        <v>113</v>
      </c>
      <c r="P363" t="s">
        <v>26</v>
      </c>
    </row>
    <row r="364" spans="1:16" x14ac:dyDescent="0.2">
      <c r="A364" t="s">
        <v>141</v>
      </c>
      <c r="B364" t="s">
        <v>142</v>
      </c>
      <c r="C364" t="s">
        <v>920</v>
      </c>
      <c r="D364" t="s">
        <v>921</v>
      </c>
      <c r="E364" t="s">
        <v>192</v>
      </c>
      <c r="F364" t="s">
        <v>145</v>
      </c>
      <c r="G364" t="s">
        <v>146</v>
      </c>
      <c r="H364" s="1">
        <v>175207</v>
      </c>
      <c r="I364" t="s">
        <v>362</v>
      </c>
      <c r="J364" t="s">
        <v>148</v>
      </c>
      <c r="L364" t="s">
        <v>141</v>
      </c>
      <c r="M364" s="1">
        <v>0</v>
      </c>
      <c r="N364" s="1">
        <v>0</v>
      </c>
      <c r="O364" t="s">
        <v>113</v>
      </c>
      <c r="P364" t="s">
        <v>26</v>
      </c>
    </row>
    <row r="365" spans="1:16" x14ac:dyDescent="0.2">
      <c r="A365" t="s">
        <v>141</v>
      </c>
      <c r="B365" t="s">
        <v>142</v>
      </c>
      <c r="C365" t="s">
        <v>922</v>
      </c>
      <c r="D365" t="s">
        <v>923</v>
      </c>
      <c r="E365" t="s">
        <v>192</v>
      </c>
      <c r="F365" t="s">
        <v>145</v>
      </c>
      <c r="G365" t="s">
        <v>146</v>
      </c>
      <c r="H365" s="1">
        <v>44123.199999999997</v>
      </c>
      <c r="I365" t="s">
        <v>924</v>
      </c>
      <c r="J365" t="s">
        <v>148</v>
      </c>
      <c r="L365" t="s">
        <v>141</v>
      </c>
      <c r="M365" s="1">
        <v>0</v>
      </c>
      <c r="N365" s="1">
        <v>0</v>
      </c>
      <c r="O365" t="s">
        <v>113</v>
      </c>
      <c r="P365" t="s">
        <v>26</v>
      </c>
    </row>
    <row r="366" spans="1:16" x14ac:dyDescent="0.2">
      <c r="A366" t="s">
        <v>141</v>
      </c>
      <c r="B366" t="s">
        <v>142</v>
      </c>
      <c r="C366" t="s">
        <v>925</v>
      </c>
      <c r="D366" t="s">
        <v>926</v>
      </c>
      <c r="E366" t="s">
        <v>192</v>
      </c>
      <c r="F366" t="s">
        <v>145</v>
      </c>
      <c r="G366" t="s">
        <v>146</v>
      </c>
      <c r="H366" s="1">
        <v>117720</v>
      </c>
      <c r="I366" t="s">
        <v>927</v>
      </c>
      <c r="J366" t="s">
        <v>148</v>
      </c>
      <c r="L366" t="s">
        <v>141</v>
      </c>
      <c r="M366" s="1">
        <v>0</v>
      </c>
      <c r="N366" s="1">
        <v>0</v>
      </c>
      <c r="O366" t="s">
        <v>113</v>
      </c>
      <c r="P366" t="s">
        <v>26</v>
      </c>
    </row>
    <row r="367" spans="1:16" x14ac:dyDescent="0.2">
      <c r="A367" t="s">
        <v>141</v>
      </c>
      <c r="B367" t="s">
        <v>142</v>
      </c>
      <c r="C367" t="s">
        <v>928</v>
      </c>
      <c r="D367" t="s">
        <v>929</v>
      </c>
      <c r="E367" t="s">
        <v>192</v>
      </c>
      <c r="F367" t="s">
        <v>145</v>
      </c>
      <c r="G367" t="s">
        <v>146</v>
      </c>
      <c r="H367" s="1">
        <v>307881</v>
      </c>
      <c r="I367" t="s">
        <v>930</v>
      </c>
      <c r="J367" t="s">
        <v>148</v>
      </c>
      <c r="L367" t="s">
        <v>141</v>
      </c>
      <c r="M367" s="1">
        <v>0</v>
      </c>
      <c r="N367" s="1">
        <v>0</v>
      </c>
      <c r="O367" t="s">
        <v>113</v>
      </c>
      <c r="P367" t="s">
        <v>26</v>
      </c>
    </row>
    <row r="368" spans="1:16" x14ac:dyDescent="0.2">
      <c r="A368" t="s">
        <v>141</v>
      </c>
      <c r="B368" t="s">
        <v>142</v>
      </c>
      <c r="C368" t="s">
        <v>931</v>
      </c>
      <c r="D368" t="s">
        <v>932</v>
      </c>
      <c r="E368" t="s">
        <v>192</v>
      </c>
      <c r="F368" t="s">
        <v>145</v>
      </c>
      <c r="G368" t="s">
        <v>146</v>
      </c>
      <c r="H368" s="1">
        <v>20710</v>
      </c>
      <c r="I368" t="s">
        <v>933</v>
      </c>
      <c r="J368" t="s">
        <v>148</v>
      </c>
      <c r="L368" t="s">
        <v>141</v>
      </c>
      <c r="M368" s="1">
        <v>0</v>
      </c>
      <c r="N368" s="1">
        <v>0</v>
      </c>
      <c r="O368" t="s">
        <v>113</v>
      </c>
      <c r="P368" t="s">
        <v>26</v>
      </c>
    </row>
    <row r="369" spans="1:16" x14ac:dyDescent="0.2">
      <c r="A369" t="s">
        <v>141</v>
      </c>
      <c r="B369" t="s">
        <v>142</v>
      </c>
      <c r="C369" t="s">
        <v>625</v>
      </c>
      <c r="D369" t="s">
        <v>934</v>
      </c>
      <c r="E369" t="s">
        <v>192</v>
      </c>
      <c r="F369" t="s">
        <v>145</v>
      </c>
      <c r="G369" t="s">
        <v>146</v>
      </c>
      <c r="H369" s="1">
        <v>152600</v>
      </c>
      <c r="I369" t="s">
        <v>626</v>
      </c>
      <c r="J369" t="s">
        <v>148</v>
      </c>
      <c r="L369" t="s">
        <v>141</v>
      </c>
      <c r="M369" s="1">
        <v>0</v>
      </c>
      <c r="N369" s="1">
        <v>0</v>
      </c>
      <c r="O369" t="s">
        <v>113</v>
      </c>
      <c r="P369" t="s">
        <v>26</v>
      </c>
    </row>
    <row r="370" spans="1:16" x14ac:dyDescent="0.2">
      <c r="A370" t="s">
        <v>141</v>
      </c>
      <c r="B370" t="s">
        <v>142</v>
      </c>
      <c r="C370" t="s">
        <v>935</v>
      </c>
      <c r="D370" t="s">
        <v>936</v>
      </c>
      <c r="E370" t="s">
        <v>192</v>
      </c>
      <c r="F370" t="s">
        <v>145</v>
      </c>
      <c r="G370" t="s">
        <v>146</v>
      </c>
      <c r="H370" s="1">
        <v>163500</v>
      </c>
      <c r="I370" t="s">
        <v>937</v>
      </c>
      <c r="J370" t="s">
        <v>148</v>
      </c>
      <c r="L370" t="s">
        <v>141</v>
      </c>
      <c r="M370" s="1">
        <v>0</v>
      </c>
      <c r="N370" s="1">
        <v>0</v>
      </c>
      <c r="O370" t="s">
        <v>113</v>
      </c>
      <c r="P370" t="s">
        <v>26</v>
      </c>
    </row>
    <row r="371" spans="1:16" x14ac:dyDescent="0.2">
      <c r="A371" t="s">
        <v>141</v>
      </c>
      <c r="B371" t="s">
        <v>142</v>
      </c>
      <c r="C371" t="s">
        <v>938</v>
      </c>
      <c r="D371" t="s">
        <v>939</v>
      </c>
      <c r="E371" t="s">
        <v>192</v>
      </c>
      <c r="F371" t="s">
        <v>145</v>
      </c>
      <c r="G371" t="s">
        <v>146</v>
      </c>
      <c r="H371" s="1">
        <v>102024</v>
      </c>
      <c r="I371" t="s">
        <v>940</v>
      </c>
      <c r="J371" t="s">
        <v>148</v>
      </c>
      <c r="L371" t="s">
        <v>141</v>
      </c>
      <c r="M371" s="1">
        <v>0</v>
      </c>
      <c r="N371" s="1">
        <v>0</v>
      </c>
      <c r="O371" t="s">
        <v>113</v>
      </c>
      <c r="P371" t="s">
        <v>26</v>
      </c>
    </row>
    <row r="372" spans="1:16" x14ac:dyDescent="0.2">
      <c r="A372" t="s">
        <v>141</v>
      </c>
      <c r="B372" t="s">
        <v>142</v>
      </c>
      <c r="C372" t="s">
        <v>941</v>
      </c>
      <c r="D372" t="s">
        <v>942</v>
      </c>
      <c r="E372" t="s">
        <v>192</v>
      </c>
      <c r="F372" t="s">
        <v>145</v>
      </c>
      <c r="G372" t="s">
        <v>146</v>
      </c>
      <c r="H372" s="1">
        <v>141700</v>
      </c>
      <c r="I372" t="s">
        <v>626</v>
      </c>
      <c r="J372" t="s">
        <v>148</v>
      </c>
      <c r="L372" t="s">
        <v>141</v>
      </c>
      <c r="M372" s="1">
        <v>0</v>
      </c>
      <c r="N372" s="1">
        <v>0</v>
      </c>
      <c r="O372" t="s">
        <v>113</v>
      </c>
      <c r="P372" t="s">
        <v>26</v>
      </c>
    </row>
    <row r="373" spans="1:16" x14ac:dyDescent="0.2">
      <c r="A373" t="s">
        <v>141</v>
      </c>
      <c r="B373" t="s">
        <v>142</v>
      </c>
      <c r="C373" t="s">
        <v>191</v>
      </c>
      <c r="D373" t="s">
        <v>943</v>
      </c>
      <c r="E373" t="s">
        <v>192</v>
      </c>
      <c r="F373" t="s">
        <v>145</v>
      </c>
      <c r="G373" t="s">
        <v>146</v>
      </c>
      <c r="H373" s="1">
        <v>103550</v>
      </c>
      <c r="I373" t="s">
        <v>944</v>
      </c>
      <c r="J373" t="s">
        <v>148</v>
      </c>
      <c r="L373" t="s">
        <v>141</v>
      </c>
      <c r="M373" s="1">
        <v>0</v>
      </c>
      <c r="N373" s="1">
        <v>0</v>
      </c>
      <c r="O373" t="s">
        <v>113</v>
      </c>
      <c r="P373" t="s">
        <v>26</v>
      </c>
    </row>
    <row r="374" spans="1:16" x14ac:dyDescent="0.2">
      <c r="A374" t="s">
        <v>141</v>
      </c>
      <c r="B374" t="s">
        <v>142</v>
      </c>
      <c r="C374" t="s">
        <v>945</v>
      </c>
      <c r="D374" t="s">
        <v>946</v>
      </c>
      <c r="E374" t="s">
        <v>192</v>
      </c>
      <c r="F374" t="s">
        <v>145</v>
      </c>
      <c r="G374" t="s">
        <v>146</v>
      </c>
      <c r="H374" s="1">
        <v>82840</v>
      </c>
      <c r="I374" t="s">
        <v>947</v>
      </c>
      <c r="J374" t="s">
        <v>148</v>
      </c>
      <c r="L374" t="s">
        <v>141</v>
      </c>
      <c r="M374" s="1">
        <v>0</v>
      </c>
      <c r="N374" s="1">
        <v>0</v>
      </c>
      <c r="O374" t="s">
        <v>113</v>
      </c>
      <c r="P374" t="s">
        <v>26</v>
      </c>
    </row>
    <row r="375" spans="1:16" x14ac:dyDescent="0.2">
      <c r="A375" t="s">
        <v>141</v>
      </c>
      <c r="B375" t="s">
        <v>142</v>
      </c>
      <c r="C375" t="s">
        <v>948</v>
      </c>
      <c r="D375" t="s">
        <v>949</v>
      </c>
      <c r="E375" t="s">
        <v>192</v>
      </c>
      <c r="F375" t="s">
        <v>145</v>
      </c>
      <c r="G375" t="s">
        <v>146</v>
      </c>
      <c r="H375" s="1">
        <v>37278</v>
      </c>
      <c r="I375" t="s">
        <v>950</v>
      </c>
      <c r="J375" t="s">
        <v>148</v>
      </c>
      <c r="L375" t="s">
        <v>141</v>
      </c>
      <c r="M375" s="1">
        <v>0</v>
      </c>
      <c r="N375" s="1">
        <v>0</v>
      </c>
      <c r="O375" t="s">
        <v>113</v>
      </c>
      <c r="P375" t="s">
        <v>26</v>
      </c>
    </row>
    <row r="376" spans="1:16" x14ac:dyDescent="0.2">
      <c r="A376" t="s">
        <v>141</v>
      </c>
      <c r="B376" t="s">
        <v>142</v>
      </c>
      <c r="C376" t="s">
        <v>230</v>
      </c>
      <c r="D376" t="s">
        <v>951</v>
      </c>
      <c r="E376" t="s">
        <v>192</v>
      </c>
      <c r="F376" t="s">
        <v>145</v>
      </c>
      <c r="G376" t="s">
        <v>146</v>
      </c>
      <c r="H376" s="1">
        <v>32700</v>
      </c>
      <c r="I376" t="s">
        <v>952</v>
      </c>
      <c r="J376" t="s">
        <v>148</v>
      </c>
      <c r="L376" t="s">
        <v>141</v>
      </c>
      <c r="M376" s="1">
        <v>0</v>
      </c>
      <c r="N376" s="1">
        <v>0</v>
      </c>
      <c r="O376" t="s">
        <v>113</v>
      </c>
      <c r="P376" t="s">
        <v>26</v>
      </c>
    </row>
    <row r="377" spans="1:16" x14ac:dyDescent="0.2">
      <c r="A377" t="s">
        <v>141</v>
      </c>
      <c r="B377" t="s">
        <v>142</v>
      </c>
      <c r="C377" t="s">
        <v>880</v>
      </c>
      <c r="D377" t="s">
        <v>953</v>
      </c>
      <c r="E377" t="s">
        <v>192</v>
      </c>
      <c r="F377" t="s">
        <v>954</v>
      </c>
      <c r="G377" t="s">
        <v>142</v>
      </c>
      <c r="H377" s="1">
        <v>42552.800000000003</v>
      </c>
      <c r="I377" t="s">
        <v>950</v>
      </c>
      <c r="J377" t="s">
        <v>148</v>
      </c>
      <c r="L377" t="s">
        <v>141</v>
      </c>
      <c r="M377" s="1">
        <v>0</v>
      </c>
      <c r="N377" s="1">
        <v>0</v>
      </c>
      <c r="O377" t="s">
        <v>113</v>
      </c>
      <c r="P377" t="s">
        <v>26</v>
      </c>
    </row>
    <row r="378" spans="1:16" x14ac:dyDescent="0.2">
      <c r="A378" t="s">
        <v>141</v>
      </c>
      <c r="B378" t="s">
        <v>142</v>
      </c>
      <c r="C378" t="s">
        <v>955</v>
      </c>
      <c r="D378" t="s">
        <v>956</v>
      </c>
      <c r="E378" t="s">
        <v>192</v>
      </c>
      <c r="F378" t="s">
        <v>145</v>
      </c>
      <c r="G378" t="s">
        <v>146</v>
      </c>
      <c r="H378" s="1">
        <v>37278</v>
      </c>
      <c r="I378" t="s">
        <v>950</v>
      </c>
      <c r="J378" t="s">
        <v>148</v>
      </c>
      <c r="L378" t="s">
        <v>141</v>
      </c>
      <c r="M378" s="1">
        <v>0</v>
      </c>
      <c r="N378" s="1">
        <v>0</v>
      </c>
      <c r="O378" t="s">
        <v>113</v>
      </c>
      <c r="P378" t="s">
        <v>26</v>
      </c>
    </row>
    <row r="379" spans="1:16" x14ac:dyDescent="0.2">
      <c r="A379" t="s">
        <v>141</v>
      </c>
      <c r="B379" t="s">
        <v>142</v>
      </c>
      <c r="C379" t="s">
        <v>957</v>
      </c>
      <c r="D379" t="s">
        <v>958</v>
      </c>
      <c r="E379" t="s">
        <v>192</v>
      </c>
      <c r="F379" t="s">
        <v>145</v>
      </c>
      <c r="G379" t="s">
        <v>146</v>
      </c>
      <c r="H379" s="1">
        <v>50140</v>
      </c>
      <c r="I379" t="s">
        <v>959</v>
      </c>
      <c r="J379" t="s">
        <v>148</v>
      </c>
      <c r="L379" t="s">
        <v>141</v>
      </c>
      <c r="M379" s="1">
        <v>0</v>
      </c>
      <c r="N379" s="1">
        <v>0</v>
      </c>
      <c r="O379" t="s">
        <v>113</v>
      </c>
      <c r="P379" t="s">
        <v>26</v>
      </c>
    </row>
    <row r="380" spans="1:16" x14ac:dyDescent="0.2">
      <c r="A380" t="s">
        <v>141</v>
      </c>
      <c r="B380" t="s">
        <v>142</v>
      </c>
      <c r="C380" t="s">
        <v>960</v>
      </c>
      <c r="D380" t="s">
        <v>961</v>
      </c>
      <c r="E380" t="s">
        <v>192</v>
      </c>
      <c r="F380" t="s">
        <v>145</v>
      </c>
      <c r="G380" t="s">
        <v>146</v>
      </c>
      <c r="H380" s="1">
        <v>126146</v>
      </c>
      <c r="I380" t="s">
        <v>962</v>
      </c>
      <c r="J380" t="s">
        <v>148</v>
      </c>
      <c r="L380" t="s">
        <v>141</v>
      </c>
      <c r="M380" s="1">
        <v>0</v>
      </c>
      <c r="N380" s="1">
        <v>0</v>
      </c>
      <c r="O380" t="s">
        <v>113</v>
      </c>
      <c r="P380" t="s">
        <v>26</v>
      </c>
    </row>
    <row r="381" spans="1:16" x14ac:dyDescent="0.2">
      <c r="A381" t="s">
        <v>141</v>
      </c>
      <c r="B381" t="s">
        <v>142</v>
      </c>
      <c r="C381" t="s">
        <v>963</v>
      </c>
      <c r="D381" t="s">
        <v>964</v>
      </c>
      <c r="E381" t="s">
        <v>38</v>
      </c>
      <c r="F381" t="s">
        <v>145</v>
      </c>
      <c r="G381" t="s">
        <v>146</v>
      </c>
      <c r="H381" s="1">
        <v>50815.8</v>
      </c>
      <c r="I381" t="s">
        <v>965</v>
      </c>
      <c r="J381" t="s">
        <v>148</v>
      </c>
      <c r="L381" t="s">
        <v>141</v>
      </c>
      <c r="M381" s="1">
        <v>0</v>
      </c>
      <c r="N381" s="1">
        <v>0</v>
      </c>
      <c r="O381" t="s">
        <v>113</v>
      </c>
      <c r="P381" t="s">
        <v>26</v>
      </c>
    </row>
    <row r="382" spans="1:16" x14ac:dyDescent="0.2">
      <c r="A382" t="s">
        <v>141</v>
      </c>
      <c r="B382" t="s">
        <v>142</v>
      </c>
      <c r="C382" t="s">
        <v>240</v>
      </c>
      <c r="D382" t="s">
        <v>966</v>
      </c>
      <c r="E382" t="s">
        <v>38</v>
      </c>
      <c r="F382" t="s">
        <v>145</v>
      </c>
      <c r="G382" t="s">
        <v>146</v>
      </c>
      <c r="H382" s="1">
        <v>104640</v>
      </c>
      <c r="I382" t="s">
        <v>844</v>
      </c>
      <c r="J382" t="s">
        <v>148</v>
      </c>
      <c r="L382" t="s">
        <v>141</v>
      </c>
      <c r="M382" s="1">
        <v>0</v>
      </c>
      <c r="N382" s="1">
        <v>0</v>
      </c>
      <c r="O382" t="s">
        <v>113</v>
      </c>
      <c r="P382" t="s">
        <v>26</v>
      </c>
    </row>
    <row r="383" spans="1:16" x14ac:dyDescent="0.2">
      <c r="A383" t="s">
        <v>141</v>
      </c>
      <c r="B383" t="s">
        <v>142</v>
      </c>
      <c r="C383" t="s">
        <v>373</v>
      </c>
      <c r="D383" t="s">
        <v>967</v>
      </c>
      <c r="E383" t="s">
        <v>38</v>
      </c>
      <c r="F383" t="s">
        <v>145</v>
      </c>
      <c r="G383" t="s">
        <v>146</v>
      </c>
      <c r="H383" s="1">
        <v>45780</v>
      </c>
      <c r="I383" t="s">
        <v>374</v>
      </c>
      <c r="J383" t="s">
        <v>148</v>
      </c>
      <c r="L383" t="s">
        <v>141</v>
      </c>
      <c r="M383" s="1">
        <v>0</v>
      </c>
      <c r="N383" s="1">
        <v>0</v>
      </c>
      <c r="O383" t="s">
        <v>113</v>
      </c>
      <c r="P383" t="s">
        <v>26</v>
      </c>
    </row>
    <row r="384" spans="1:16" x14ac:dyDescent="0.2">
      <c r="A384" t="s">
        <v>141</v>
      </c>
      <c r="B384" t="s">
        <v>142</v>
      </c>
      <c r="C384" t="s">
        <v>156</v>
      </c>
      <c r="D384" t="s">
        <v>968</v>
      </c>
      <c r="E384" t="s">
        <v>38</v>
      </c>
      <c r="F384" t="s">
        <v>145</v>
      </c>
      <c r="G384" t="s">
        <v>146</v>
      </c>
      <c r="H384" s="1">
        <v>76866.8</v>
      </c>
      <c r="I384" t="s">
        <v>969</v>
      </c>
      <c r="J384" t="s">
        <v>148</v>
      </c>
      <c r="L384" t="s">
        <v>141</v>
      </c>
      <c r="M384" s="1">
        <v>0</v>
      </c>
      <c r="N384" s="1">
        <v>0</v>
      </c>
      <c r="O384" t="s">
        <v>113</v>
      </c>
      <c r="P384" t="s">
        <v>26</v>
      </c>
    </row>
    <row r="385" spans="1:16" x14ac:dyDescent="0.2">
      <c r="A385" t="s">
        <v>141</v>
      </c>
      <c r="B385" t="s">
        <v>142</v>
      </c>
      <c r="C385" t="s">
        <v>970</v>
      </c>
      <c r="D385" t="s">
        <v>971</v>
      </c>
      <c r="E385" t="s">
        <v>38</v>
      </c>
      <c r="F385" t="s">
        <v>145</v>
      </c>
      <c r="G385" t="s">
        <v>146</v>
      </c>
      <c r="H385" s="1">
        <v>77433.600000000006</v>
      </c>
      <c r="I385" t="s">
        <v>972</v>
      </c>
      <c r="J385" t="s">
        <v>148</v>
      </c>
      <c r="L385" t="s">
        <v>141</v>
      </c>
      <c r="M385" s="1">
        <v>0</v>
      </c>
      <c r="N385" s="1">
        <v>0</v>
      </c>
      <c r="O385" t="s">
        <v>113</v>
      </c>
      <c r="P385" t="s">
        <v>26</v>
      </c>
    </row>
    <row r="386" spans="1:16" x14ac:dyDescent="0.2">
      <c r="A386" t="s">
        <v>141</v>
      </c>
      <c r="B386" t="s">
        <v>142</v>
      </c>
      <c r="C386" t="s">
        <v>973</v>
      </c>
      <c r="D386" t="s">
        <v>974</v>
      </c>
      <c r="E386" t="s">
        <v>38</v>
      </c>
      <c r="F386" t="s">
        <v>145</v>
      </c>
      <c r="G386" t="s">
        <v>146</v>
      </c>
      <c r="H386" s="1">
        <v>152600</v>
      </c>
      <c r="I386" t="s">
        <v>919</v>
      </c>
      <c r="J386" t="s">
        <v>148</v>
      </c>
      <c r="L386" t="s">
        <v>141</v>
      </c>
      <c r="M386" s="1">
        <v>0</v>
      </c>
      <c r="N386" s="1">
        <v>0</v>
      </c>
      <c r="O386" t="s">
        <v>113</v>
      </c>
      <c r="P386" t="s">
        <v>26</v>
      </c>
    </row>
    <row r="387" spans="1:16" x14ac:dyDescent="0.2">
      <c r="A387" t="s">
        <v>141</v>
      </c>
      <c r="B387" t="s">
        <v>142</v>
      </c>
      <c r="C387" t="s">
        <v>975</v>
      </c>
      <c r="D387" t="s">
        <v>976</v>
      </c>
      <c r="E387" t="s">
        <v>38</v>
      </c>
      <c r="F387" t="s">
        <v>145</v>
      </c>
      <c r="G387" t="s">
        <v>146</v>
      </c>
      <c r="H387" s="1">
        <v>143880</v>
      </c>
      <c r="I387" t="s">
        <v>977</v>
      </c>
      <c r="J387" t="s">
        <v>148</v>
      </c>
      <c r="L387" t="s">
        <v>141</v>
      </c>
      <c r="M387" s="1">
        <v>0</v>
      </c>
      <c r="N387" s="1">
        <v>0</v>
      </c>
      <c r="O387" t="s">
        <v>113</v>
      </c>
      <c r="P387" t="s">
        <v>26</v>
      </c>
    </row>
    <row r="388" spans="1:16" x14ac:dyDescent="0.2">
      <c r="A388" t="s">
        <v>141</v>
      </c>
      <c r="B388" t="s">
        <v>142</v>
      </c>
      <c r="C388" t="s">
        <v>264</v>
      </c>
      <c r="D388" t="s">
        <v>978</v>
      </c>
      <c r="E388" t="s">
        <v>38</v>
      </c>
      <c r="F388" t="s">
        <v>145</v>
      </c>
      <c r="G388" t="s">
        <v>146</v>
      </c>
      <c r="H388" s="1">
        <v>417470</v>
      </c>
      <c r="I388" t="s">
        <v>979</v>
      </c>
      <c r="J388" t="s">
        <v>148</v>
      </c>
      <c r="L388" t="s">
        <v>141</v>
      </c>
      <c r="M388" s="1">
        <v>0</v>
      </c>
      <c r="N388" s="1">
        <v>0</v>
      </c>
      <c r="O388" t="s">
        <v>113</v>
      </c>
      <c r="P388" t="s">
        <v>26</v>
      </c>
    </row>
    <row r="389" spans="1:16" x14ac:dyDescent="0.2">
      <c r="A389" t="s">
        <v>141</v>
      </c>
      <c r="B389" t="s">
        <v>142</v>
      </c>
      <c r="C389" t="s">
        <v>980</v>
      </c>
      <c r="D389" t="s">
        <v>981</v>
      </c>
      <c r="E389" t="s">
        <v>38</v>
      </c>
      <c r="F389" t="s">
        <v>145</v>
      </c>
      <c r="G389" t="s">
        <v>146</v>
      </c>
      <c r="H389" s="1">
        <v>26160</v>
      </c>
      <c r="I389" t="s">
        <v>982</v>
      </c>
      <c r="J389" t="s">
        <v>148</v>
      </c>
      <c r="L389" t="s">
        <v>141</v>
      </c>
      <c r="M389" s="1">
        <v>0</v>
      </c>
      <c r="N389" s="1">
        <v>0</v>
      </c>
      <c r="O389" t="s">
        <v>113</v>
      </c>
      <c r="P389" t="s">
        <v>26</v>
      </c>
    </row>
    <row r="390" spans="1:16" x14ac:dyDescent="0.2">
      <c r="A390" t="s">
        <v>141</v>
      </c>
      <c r="B390" t="s">
        <v>142</v>
      </c>
      <c r="C390" t="s">
        <v>983</v>
      </c>
      <c r="D390" t="s">
        <v>984</v>
      </c>
      <c r="E390" t="s">
        <v>38</v>
      </c>
      <c r="F390" t="s">
        <v>145</v>
      </c>
      <c r="G390" t="s">
        <v>146</v>
      </c>
      <c r="H390" s="1">
        <v>65400</v>
      </c>
      <c r="I390" t="s">
        <v>849</v>
      </c>
      <c r="J390" t="s">
        <v>148</v>
      </c>
      <c r="L390" t="s">
        <v>141</v>
      </c>
      <c r="M390" s="1">
        <v>0</v>
      </c>
      <c r="N390" s="1">
        <v>0</v>
      </c>
      <c r="O390" t="s">
        <v>113</v>
      </c>
      <c r="P390" t="s">
        <v>26</v>
      </c>
    </row>
    <row r="391" spans="1:16" x14ac:dyDescent="0.2">
      <c r="A391" t="s">
        <v>141</v>
      </c>
      <c r="B391" t="s">
        <v>142</v>
      </c>
      <c r="C391" t="s">
        <v>985</v>
      </c>
      <c r="D391" t="s">
        <v>986</v>
      </c>
      <c r="E391" t="s">
        <v>38</v>
      </c>
      <c r="F391" t="s">
        <v>145</v>
      </c>
      <c r="G391" t="s">
        <v>146</v>
      </c>
      <c r="H391" s="1">
        <v>42510</v>
      </c>
      <c r="I391" t="s">
        <v>987</v>
      </c>
      <c r="J391" t="s">
        <v>148</v>
      </c>
      <c r="L391" t="s">
        <v>141</v>
      </c>
      <c r="M391" s="1">
        <v>0</v>
      </c>
      <c r="N391" s="1">
        <v>0</v>
      </c>
      <c r="O391" t="s">
        <v>113</v>
      </c>
      <c r="P391" t="s">
        <v>26</v>
      </c>
    </row>
    <row r="392" spans="1:16" x14ac:dyDescent="0.2">
      <c r="A392" t="s">
        <v>141</v>
      </c>
      <c r="B392" t="s">
        <v>142</v>
      </c>
      <c r="C392" t="s">
        <v>988</v>
      </c>
      <c r="D392">
        <v>18836</v>
      </c>
      <c r="E392" t="s">
        <v>38</v>
      </c>
      <c r="F392" t="s">
        <v>954</v>
      </c>
      <c r="G392" t="s">
        <v>142</v>
      </c>
      <c r="H392" s="1">
        <v>139146</v>
      </c>
      <c r="I392" t="s">
        <v>728</v>
      </c>
      <c r="J392" t="s">
        <v>148</v>
      </c>
      <c r="L392" t="s">
        <v>141</v>
      </c>
      <c r="M392" s="1">
        <v>0</v>
      </c>
      <c r="N392" s="1">
        <v>0</v>
      </c>
      <c r="O392" t="s">
        <v>113</v>
      </c>
      <c r="P392" t="s">
        <v>26</v>
      </c>
    </row>
    <row r="393" spans="1:16" x14ac:dyDescent="0.2">
      <c r="A393" t="s">
        <v>141</v>
      </c>
      <c r="B393" t="s">
        <v>142</v>
      </c>
      <c r="C393" t="s">
        <v>989</v>
      </c>
      <c r="D393" t="s">
        <v>990</v>
      </c>
      <c r="E393" t="s">
        <v>38</v>
      </c>
      <c r="F393" t="s">
        <v>145</v>
      </c>
      <c r="G393" t="s">
        <v>146</v>
      </c>
      <c r="H393" s="1">
        <v>308557</v>
      </c>
      <c r="I393" t="s">
        <v>924</v>
      </c>
      <c r="J393" t="s">
        <v>148</v>
      </c>
      <c r="L393" t="s">
        <v>141</v>
      </c>
      <c r="M393" s="1">
        <v>0</v>
      </c>
      <c r="N393" s="1">
        <v>0</v>
      </c>
      <c r="O393" t="s">
        <v>113</v>
      </c>
      <c r="P393" t="s">
        <v>26</v>
      </c>
    </row>
    <row r="394" spans="1:16" x14ac:dyDescent="0.2">
      <c r="A394" t="s">
        <v>141</v>
      </c>
      <c r="B394" t="s">
        <v>142</v>
      </c>
      <c r="C394" t="s">
        <v>991</v>
      </c>
      <c r="D394" t="s">
        <v>992</v>
      </c>
      <c r="E394" t="s">
        <v>38</v>
      </c>
      <c r="F394" t="s">
        <v>145</v>
      </c>
      <c r="G394" t="s">
        <v>146</v>
      </c>
      <c r="H394" s="1">
        <v>202740</v>
      </c>
      <c r="I394" t="s">
        <v>993</v>
      </c>
      <c r="J394" t="s">
        <v>148</v>
      </c>
      <c r="L394" t="s">
        <v>141</v>
      </c>
      <c r="M394" s="1">
        <v>0</v>
      </c>
      <c r="N394" s="1">
        <v>0</v>
      </c>
      <c r="O394" t="s">
        <v>113</v>
      </c>
      <c r="P394" t="s">
        <v>26</v>
      </c>
    </row>
    <row r="395" spans="1:16" x14ac:dyDescent="0.2">
      <c r="A395" t="s">
        <v>141</v>
      </c>
      <c r="B395" t="s">
        <v>142</v>
      </c>
      <c r="C395" t="s">
        <v>994</v>
      </c>
      <c r="D395" t="s">
        <v>995</v>
      </c>
      <c r="E395" t="s">
        <v>38</v>
      </c>
      <c r="F395" t="s">
        <v>145</v>
      </c>
      <c r="G395" t="s">
        <v>146</v>
      </c>
      <c r="H395" s="1">
        <v>67580</v>
      </c>
      <c r="I395" t="s">
        <v>996</v>
      </c>
      <c r="J395" t="s">
        <v>148</v>
      </c>
      <c r="L395" t="s">
        <v>141</v>
      </c>
      <c r="M395" s="1">
        <v>0</v>
      </c>
      <c r="N395" s="1">
        <v>0</v>
      </c>
      <c r="O395" t="s">
        <v>113</v>
      </c>
      <c r="P395" t="s">
        <v>26</v>
      </c>
    </row>
    <row r="396" spans="1:16" x14ac:dyDescent="0.2">
      <c r="A396" t="s">
        <v>141</v>
      </c>
      <c r="B396" t="s">
        <v>142</v>
      </c>
      <c r="C396" t="s">
        <v>997</v>
      </c>
      <c r="D396" t="s">
        <v>998</v>
      </c>
      <c r="E396" t="s">
        <v>38</v>
      </c>
      <c r="F396" t="s">
        <v>145</v>
      </c>
      <c r="G396" t="s">
        <v>146</v>
      </c>
      <c r="H396" s="1">
        <v>93740</v>
      </c>
      <c r="I396" t="s">
        <v>999</v>
      </c>
      <c r="J396" t="s">
        <v>148</v>
      </c>
      <c r="L396" t="s">
        <v>141</v>
      </c>
      <c r="M396" s="1">
        <v>0</v>
      </c>
      <c r="N396" s="1">
        <v>0</v>
      </c>
      <c r="O396" t="s">
        <v>113</v>
      </c>
      <c r="P396" t="s">
        <v>26</v>
      </c>
    </row>
    <row r="397" spans="1:16" x14ac:dyDescent="0.2">
      <c r="A397" t="s">
        <v>141</v>
      </c>
      <c r="B397" t="s">
        <v>142</v>
      </c>
      <c r="C397" t="s">
        <v>1000</v>
      </c>
      <c r="D397" t="s">
        <v>1001</v>
      </c>
      <c r="E397" t="s">
        <v>38</v>
      </c>
      <c r="F397" t="s">
        <v>145</v>
      </c>
      <c r="G397" t="s">
        <v>146</v>
      </c>
      <c r="H397" s="1">
        <v>143880</v>
      </c>
      <c r="I397" t="s">
        <v>1002</v>
      </c>
      <c r="J397" t="s">
        <v>148</v>
      </c>
      <c r="L397" t="s">
        <v>141</v>
      </c>
      <c r="M397" s="1">
        <v>0</v>
      </c>
      <c r="N397" s="1">
        <v>0</v>
      </c>
      <c r="O397" t="s">
        <v>113</v>
      </c>
      <c r="P397" t="s">
        <v>26</v>
      </c>
    </row>
    <row r="398" spans="1:16" x14ac:dyDescent="0.2">
      <c r="A398" t="s">
        <v>141</v>
      </c>
      <c r="B398" t="s">
        <v>142</v>
      </c>
      <c r="C398" t="s">
        <v>1003</v>
      </c>
      <c r="D398" t="s">
        <v>1004</v>
      </c>
      <c r="E398" t="s">
        <v>71</v>
      </c>
      <c r="F398" t="s">
        <v>145</v>
      </c>
      <c r="G398" t="s">
        <v>146</v>
      </c>
      <c r="H398" s="1">
        <v>81750</v>
      </c>
      <c r="I398" t="s">
        <v>1005</v>
      </c>
      <c r="J398" t="s">
        <v>148</v>
      </c>
      <c r="L398" t="s">
        <v>141</v>
      </c>
      <c r="M398" s="1">
        <v>0</v>
      </c>
      <c r="N398" s="1">
        <v>0</v>
      </c>
      <c r="O398" t="s">
        <v>113</v>
      </c>
      <c r="P398" t="s">
        <v>26</v>
      </c>
    </row>
    <row r="399" spans="1:16" x14ac:dyDescent="0.2">
      <c r="A399" t="s">
        <v>141</v>
      </c>
      <c r="B399" t="s">
        <v>142</v>
      </c>
      <c r="C399" t="s">
        <v>437</v>
      </c>
      <c r="D399" t="s">
        <v>1006</v>
      </c>
      <c r="E399" t="s">
        <v>71</v>
      </c>
      <c r="F399" t="s">
        <v>145</v>
      </c>
      <c r="G399" t="s">
        <v>146</v>
      </c>
      <c r="H399" s="1">
        <v>185562</v>
      </c>
      <c r="I399" t="s">
        <v>1007</v>
      </c>
      <c r="J399" t="s">
        <v>148</v>
      </c>
      <c r="L399" t="s">
        <v>141</v>
      </c>
      <c r="M399" s="1">
        <v>0</v>
      </c>
      <c r="N399" s="1">
        <v>0</v>
      </c>
      <c r="O399" t="s">
        <v>113</v>
      </c>
      <c r="P399" t="s">
        <v>26</v>
      </c>
    </row>
    <row r="400" spans="1:16" x14ac:dyDescent="0.2">
      <c r="A400" t="s">
        <v>141</v>
      </c>
      <c r="B400" t="s">
        <v>142</v>
      </c>
      <c r="C400" t="s">
        <v>793</v>
      </c>
      <c r="D400" t="s">
        <v>1008</v>
      </c>
      <c r="E400" t="s">
        <v>71</v>
      </c>
      <c r="F400" t="s">
        <v>145</v>
      </c>
      <c r="G400" t="s">
        <v>146</v>
      </c>
      <c r="H400" s="1">
        <v>159053</v>
      </c>
      <c r="I400" t="s">
        <v>1009</v>
      </c>
      <c r="J400" t="s">
        <v>148</v>
      </c>
      <c r="L400" t="s">
        <v>141</v>
      </c>
      <c r="M400" s="1">
        <v>0</v>
      </c>
      <c r="N400" s="1">
        <v>0</v>
      </c>
      <c r="O400" t="s">
        <v>113</v>
      </c>
      <c r="P400" t="s">
        <v>26</v>
      </c>
    </row>
    <row r="401" spans="1:16" x14ac:dyDescent="0.2">
      <c r="A401" t="s">
        <v>141</v>
      </c>
      <c r="B401" t="s">
        <v>142</v>
      </c>
      <c r="C401" t="s">
        <v>447</v>
      </c>
      <c r="D401" t="s">
        <v>1010</v>
      </c>
      <c r="E401" t="s">
        <v>71</v>
      </c>
      <c r="F401" t="s">
        <v>145</v>
      </c>
      <c r="G401" t="s">
        <v>146</v>
      </c>
      <c r="H401" s="1">
        <v>159053</v>
      </c>
      <c r="I401" t="s">
        <v>1011</v>
      </c>
      <c r="J401" t="s">
        <v>148</v>
      </c>
      <c r="L401" t="s">
        <v>141</v>
      </c>
      <c r="M401" s="1">
        <v>0</v>
      </c>
      <c r="N401" s="1">
        <v>0</v>
      </c>
      <c r="O401" t="s">
        <v>113</v>
      </c>
      <c r="P401" t="s">
        <v>26</v>
      </c>
    </row>
    <row r="402" spans="1:16" x14ac:dyDescent="0.2">
      <c r="A402" t="s">
        <v>141</v>
      </c>
      <c r="B402" t="s">
        <v>142</v>
      </c>
      <c r="C402" t="s">
        <v>1012</v>
      </c>
      <c r="D402" t="s">
        <v>1013</v>
      </c>
      <c r="E402" t="s">
        <v>1014</v>
      </c>
      <c r="F402" t="s">
        <v>145</v>
      </c>
      <c r="G402" t="s">
        <v>146</v>
      </c>
      <c r="H402" s="1">
        <v>109000</v>
      </c>
      <c r="I402" t="s">
        <v>1015</v>
      </c>
      <c r="J402" t="s">
        <v>148</v>
      </c>
      <c r="L402" t="s">
        <v>141</v>
      </c>
      <c r="M402" s="1">
        <v>0</v>
      </c>
      <c r="N402" s="1">
        <v>0</v>
      </c>
      <c r="O402" t="s">
        <v>113</v>
      </c>
      <c r="P402" t="s">
        <v>26</v>
      </c>
    </row>
    <row r="403" spans="1:16" x14ac:dyDescent="0.2">
      <c r="A403" t="s">
        <v>141</v>
      </c>
      <c r="B403" t="s">
        <v>142</v>
      </c>
      <c r="C403" t="s">
        <v>1016</v>
      </c>
      <c r="D403" t="s">
        <v>1017</v>
      </c>
      <c r="E403" t="s">
        <v>75</v>
      </c>
      <c r="F403" t="s">
        <v>145</v>
      </c>
      <c r="G403" t="s">
        <v>146</v>
      </c>
      <c r="H403" s="1">
        <v>102460</v>
      </c>
      <c r="I403" t="s">
        <v>1018</v>
      </c>
      <c r="J403" t="s">
        <v>148</v>
      </c>
      <c r="L403" t="s">
        <v>141</v>
      </c>
      <c r="M403" s="1">
        <v>0</v>
      </c>
      <c r="N403" s="1">
        <v>0</v>
      </c>
      <c r="O403" t="s">
        <v>113</v>
      </c>
      <c r="P403" t="s">
        <v>26</v>
      </c>
    </row>
    <row r="404" spans="1:16" x14ac:dyDescent="0.2">
      <c r="A404" t="s">
        <v>141</v>
      </c>
      <c r="B404" t="s">
        <v>142</v>
      </c>
      <c r="C404" t="s">
        <v>1019</v>
      </c>
      <c r="D404" t="s">
        <v>1020</v>
      </c>
      <c r="E404" t="s">
        <v>75</v>
      </c>
      <c r="F404" t="s">
        <v>145</v>
      </c>
      <c r="G404" t="s">
        <v>146</v>
      </c>
      <c r="H404" s="1">
        <v>102460</v>
      </c>
      <c r="I404" t="s">
        <v>1018</v>
      </c>
      <c r="J404" t="s">
        <v>148</v>
      </c>
      <c r="L404" t="s">
        <v>141</v>
      </c>
      <c r="M404" s="1">
        <v>0</v>
      </c>
      <c r="N404" s="1">
        <v>0</v>
      </c>
      <c r="O404" t="s">
        <v>113</v>
      </c>
      <c r="P404" t="s">
        <v>26</v>
      </c>
    </row>
    <row r="405" spans="1:16" x14ac:dyDescent="0.2">
      <c r="A405" t="s">
        <v>141</v>
      </c>
      <c r="B405" t="s">
        <v>142</v>
      </c>
      <c r="C405" t="s">
        <v>1021</v>
      </c>
      <c r="D405" t="s">
        <v>1022</v>
      </c>
      <c r="E405" t="s">
        <v>75</v>
      </c>
      <c r="F405" t="s">
        <v>145</v>
      </c>
      <c r="G405" t="s">
        <v>146</v>
      </c>
      <c r="H405" s="1">
        <v>109000</v>
      </c>
      <c r="I405" t="s">
        <v>1023</v>
      </c>
      <c r="J405" t="s">
        <v>148</v>
      </c>
      <c r="L405" t="s">
        <v>141</v>
      </c>
      <c r="M405" s="1">
        <v>0</v>
      </c>
      <c r="N405" s="1">
        <v>0</v>
      </c>
      <c r="O405" t="s">
        <v>113</v>
      </c>
      <c r="P405" t="s">
        <v>26</v>
      </c>
    </row>
    <row r="406" spans="1:16" x14ac:dyDescent="0.2">
      <c r="A406" t="s">
        <v>141</v>
      </c>
      <c r="B406" t="s">
        <v>142</v>
      </c>
      <c r="C406" t="s">
        <v>1024</v>
      </c>
      <c r="D406" t="s">
        <v>1025</v>
      </c>
      <c r="E406" t="s">
        <v>96</v>
      </c>
      <c r="F406" t="s">
        <v>145</v>
      </c>
      <c r="G406" t="s">
        <v>146</v>
      </c>
      <c r="H406" s="1">
        <v>16568</v>
      </c>
      <c r="I406" t="s">
        <v>1026</v>
      </c>
      <c r="J406" t="s">
        <v>148</v>
      </c>
      <c r="L406" t="s">
        <v>141</v>
      </c>
      <c r="M406" s="1">
        <v>0</v>
      </c>
      <c r="N406" s="1">
        <v>0</v>
      </c>
      <c r="O406" t="s">
        <v>113</v>
      </c>
      <c r="P406" t="s">
        <v>26</v>
      </c>
    </row>
    <row r="407" spans="1:16" x14ac:dyDescent="0.2">
      <c r="A407" t="s">
        <v>141</v>
      </c>
      <c r="B407" t="s">
        <v>142</v>
      </c>
      <c r="C407" t="s">
        <v>1027</v>
      </c>
      <c r="D407" t="s">
        <v>1028</v>
      </c>
      <c r="E407" t="s">
        <v>203</v>
      </c>
      <c r="F407" t="s">
        <v>145</v>
      </c>
      <c r="G407" t="s">
        <v>146</v>
      </c>
      <c r="H407" s="1">
        <v>327000</v>
      </c>
      <c r="I407" t="s">
        <v>1029</v>
      </c>
      <c r="J407" t="s">
        <v>148</v>
      </c>
      <c r="L407" t="s">
        <v>141</v>
      </c>
      <c r="M407" s="1">
        <v>0</v>
      </c>
      <c r="N407" s="1">
        <v>0</v>
      </c>
      <c r="O407" t="s">
        <v>113</v>
      </c>
      <c r="P407" t="s">
        <v>26</v>
      </c>
    </row>
    <row r="408" spans="1:16" x14ac:dyDescent="0.2">
      <c r="A408" t="s">
        <v>141</v>
      </c>
      <c r="B408" t="s">
        <v>142</v>
      </c>
      <c r="C408" t="s">
        <v>1030</v>
      </c>
      <c r="D408" t="s">
        <v>1031</v>
      </c>
      <c r="E408" t="s">
        <v>203</v>
      </c>
      <c r="F408" t="s">
        <v>145</v>
      </c>
      <c r="G408" t="s">
        <v>146</v>
      </c>
      <c r="H408" s="1">
        <v>514480</v>
      </c>
      <c r="I408" t="s">
        <v>1032</v>
      </c>
      <c r="J408" t="s">
        <v>148</v>
      </c>
      <c r="L408" t="s">
        <v>141</v>
      </c>
      <c r="M408" s="1">
        <v>0</v>
      </c>
      <c r="N408" s="1">
        <v>0</v>
      </c>
      <c r="O408" t="s">
        <v>113</v>
      </c>
      <c r="P408" t="s">
        <v>26</v>
      </c>
    </row>
    <row r="409" spans="1:16" x14ac:dyDescent="0.2">
      <c r="A409" t="s">
        <v>141</v>
      </c>
      <c r="B409" t="s">
        <v>142</v>
      </c>
      <c r="C409" t="s">
        <v>333</v>
      </c>
      <c r="D409" t="s">
        <v>1033</v>
      </c>
      <c r="E409" t="s">
        <v>31</v>
      </c>
      <c r="F409" t="s">
        <v>145</v>
      </c>
      <c r="G409" t="s">
        <v>146</v>
      </c>
      <c r="H409" s="1">
        <v>43600</v>
      </c>
      <c r="I409" t="s">
        <v>962</v>
      </c>
      <c r="J409" t="s">
        <v>148</v>
      </c>
      <c r="L409" t="s">
        <v>141</v>
      </c>
      <c r="M409" s="1">
        <v>0</v>
      </c>
      <c r="N409" s="1">
        <v>0</v>
      </c>
      <c r="O409" t="s">
        <v>113</v>
      </c>
      <c r="P409" t="s">
        <v>26</v>
      </c>
    </row>
    <row r="410" spans="1:16" x14ac:dyDescent="0.2">
      <c r="A410" t="s">
        <v>141</v>
      </c>
      <c r="B410" t="s">
        <v>142</v>
      </c>
      <c r="C410" t="s">
        <v>307</v>
      </c>
      <c r="D410" t="s">
        <v>1034</v>
      </c>
      <c r="E410" t="s">
        <v>31</v>
      </c>
      <c r="F410" t="s">
        <v>145</v>
      </c>
      <c r="G410" t="s">
        <v>146</v>
      </c>
      <c r="H410" s="1">
        <v>50140</v>
      </c>
      <c r="I410" t="s">
        <v>1035</v>
      </c>
      <c r="J410" t="s">
        <v>148</v>
      </c>
      <c r="L410" t="s">
        <v>141</v>
      </c>
      <c r="M410" s="1">
        <v>0</v>
      </c>
      <c r="N410" s="1">
        <v>0</v>
      </c>
      <c r="O410" t="s">
        <v>113</v>
      </c>
      <c r="P410" t="s">
        <v>26</v>
      </c>
    </row>
    <row r="411" spans="1:16" x14ac:dyDescent="0.2">
      <c r="A411" t="s">
        <v>141</v>
      </c>
      <c r="B411" t="s">
        <v>142</v>
      </c>
      <c r="C411" t="s">
        <v>1036</v>
      </c>
      <c r="D411" t="s">
        <v>1037</v>
      </c>
      <c r="E411" t="s">
        <v>31</v>
      </c>
      <c r="F411" t="s">
        <v>145</v>
      </c>
      <c r="G411" t="s">
        <v>146</v>
      </c>
      <c r="H411" s="1">
        <v>16350</v>
      </c>
      <c r="I411" t="s">
        <v>1038</v>
      </c>
      <c r="J411" t="s">
        <v>148</v>
      </c>
      <c r="L411" t="s">
        <v>141</v>
      </c>
      <c r="M411" s="1">
        <v>0</v>
      </c>
      <c r="N411" s="1">
        <v>0</v>
      </c>
      <c r="O411" t="s">
        <v>113</v>
      </c>
      <c r="P411" t="s">
        <v>26</v>
      </c>
    </row>
    <row r="412" spans="1:16" x14ac:dyDescent="0.2">
      <c r="A412" t="s">
        <v>141</v>
      </c>
      <c r="B412" t="s">
        <v>142</v>
      </c>
      <c r="C412" t="s">
        <v>1039</v>
      </c>
      <c r="D412" t="s">
        <v>1040</v>
      </c>
      <c r="E412" t="s">
        <v>31</v>
      </c>
      <c r="F412" t="s">
        <v>145</v>
      </c>
      <c r="G412" t="s">
        <v>146</v>
      </c>
      <c r="H412" s="1">
        <v>9810</v>
      </c>
      <c r="I412" t="s">
        <v>1041</v>
      </c>
      <c r="J412" t="s">
        <v>148</v>
      </c>
      <c r="L412" t="s">
        <v>141</v>
      </c>
      <c r="M412" s="1">
        <v>0</v>
      </c>
      <c r="N412" s="1">
        <v>0</v>
      </c>
      <c r="O412" t="s">
        <v>113</v>
      </c>
      <c r="P412" t="s">
        <v>26</v>
      </c>
    </row>
    <row r="413" spans="1:16" x14ac:dyDescent="0.2">
      <c r="A413" t="s">
        <v>141</v>
      </c>
      <c r="B413" t="s">
        <v>142</v>
      </c>
      <c r="C413" t="s">
        <v>1042</v>
      </c>
      <c r="D413" t="s">
        <v>1043</v>
      </c>
      <c r="E413" t="s">
        <v>31</v>
      </c>
      <c r="F413" t="s">
        <v>145</v>
      </c>
      <c r="G413" t="s">
        <v>146</v>
      </c>
      <c r="H413" s="1">
        <v>55633.599999999999</v>
      </c>
      <c r="I413" t="s">
        <v>1044</v>
      </c>
      <c r="J413" t="s">
        <v>148</v>
      </c>
      <c r="L413" t="s">
        <v>141</v>
      </c>
      <c r="M413" s="1">
        <v>0</v>
      </c>
      <c r="N413" s="1">
        <v>0</v>
      </c>
      <c r="O413" t="s">
        <v>113</v>
      </c>
      <c r="P413" t="s">
        <v>26</v>
      </c>
    </row>
    <row r="414" spans="1:16" x14ac:dyDescent="0.2">
      <c r="A414" t="s">
        <v>141</v>
      </c>
      <c r="B414" t="s">
        <v>142</v>
      </c>
      <c r="C414" t="s">
        <v>1045</v>
      </c>
      <c r="D414" t="s">
        <v>1046</v>
      </c>
      <c r="E414" t="s">
        <v>31</v>
      </c>
      <c r="F414" t="s">
        <v>145</v>
      </c>
      <c r="G414" t="s">
        <v>146</v>
      </c>
      <c r="H414" s="1">
        <v>45910.8</v>
      </c>
      <c r="I414" t="s">
        <v>1047</v>
      </c>
      <c r="J414" t="s">
        <v>148</v>
      </c>
      <c r="L414" t="s">
        <v>141</v>
      </c>
      <c r="M414" s="1">
        <v>0</v>
      </c>
      <c r="N414" s="1">
        <v>0</v>
      </c>
      <c r="O414" t="s">
        <v>113</v>
      </c>
      <c r="P414" t="s">
        <v>26</v>
      </c>
    </row>
    <row r="415" spans="1:16" x14ac:dyDescent="0.2">
      <c r="A415" t="s">
        <v>141</v>
      </c>
      <c r="B415" t="s">
        <v>1048</v>
      </c>
      <c r="C415" t="s">
        <v>1049</v>
      </c>
      <c r="D415">
        <v>22387</v>
      </c>
      <c r="E415" t="s">
        <v>192</v>
      </c>
      <c r="F415" t="s">
        <v>954</v>
      </c>
      <c r="G415" t="s">
        <v>142</v>
      </c>
      <c r="H415" s="1">
        <v>32194.2</v>
      </c>
      <c r="I415" t="s">
        <v>1050</v>
      </c>
      <c r="J415" t="s">
        <v>148</v>
      </c>
      <c r="L415" t="s">
        <v>141</v>
      </c>
      <c r="M415" s="1">
        <v>0</v>
      </c>
      <c r="N415" s="1">
        <v>0</v>
      </c>
      <c r="O415" t="s">
        <v>113</v>
      </c>
      <c r="P415" t="s">
        <v>26</v>
      </c>
    </row>
    <row r="416" spans="1:16" x14ac:dyDescent="0.2">
      <c r="A416" t="s">
        <v>141</v>
      </c>
      <c r="B416" t="s">
        <v>1048</v>
      </c>
      <c r="C416" t="s">
        <v>1051</v>
      </c>
      <c r="D416">
        <v>22117</v>
      </c>
      <c r="E416" t="s">
        <v>192</v>
      </c>
      <c r="F416" t="s">
        <v>954</v>
      </c>
      <c r="G416" t="s">
        <v>142</v>
      </c>
      <c r="H416" s="1">
        <v>44111.1</v>
      </c>
      <c r="I416" t="s">
        <v>996</v>
      </c>
      <c r="J416" t="s">
        <v>148</v>
      </c>
      <c r="L416" t="s">
        <v>141</v>
      </c>
      <c r="M416" s="1">
        <v>0</v>
      </c>
      <c r="N416" s="1">
        <v>0</v>
      </c>
      <c r="O416" t="s">
        <v>113</v>
      </c>
      <c r="P416" t="s">
        <v>26</v>
      </c>
    </row>
    <row r="417" spans="1:16" x14ac:dyDescent="0.2">
      <c r="A417" t="s">
        <v>141</v>
      </c>
      <c r="B417" t="s">
        <v>244</v>
      </c>
      <c r="C417" t="s">
        <v>1052</v>
      </c>
      <c r="D417" t="s">
        <v>1053</v>
      </c>
      <c r="E417" t="s">
        <v>192</v>
      </c>
      <c r="F417" t="s">
        <v>246</v>
      </c>
      <c r="G417" t="s">
        <v>244</v>
      </c>
      <c r="H417" s="1">
        <v>61236</v>
      </c>
      <c r="I417" t="s">
        <v>1054</v>
      </c>
      <c r="J417" t="s">
        <v>148</v>
      </c>
      <c r="L417" t="s">
        <v>141</v>
      </c>
      <c r="M417" s="1">
        <v>0</v>
      </c>
      <c r="N417" s="1">
        <v>0</v>
      </c>
      <c r="O417" t="s">
        <v>113</v>
      </c>
      <c r="P417" t="s">
        <v>26</v>
      </c>
    </row>
    <row r="418" spans="1:16" x14ac:dyDescent="0.2">
      <c r="A418" t="s">
        <v>141</v>
      </c>
      <c r="B418" t="s">
        <v>244</v>
      </c>
      <c r="C418" t="s">
        <v>1055</v>
      </c>
      <c r="D418" t="s">
        <v>1056</v>
      </c>
      <c r="E418" t="s">
        <v>96</v>
      </c>
      <c r="F418" t="s">
        <v>246</v>
      </c>
      <c r="G418" t="s">
        <v>244</v>
      </c>
      <c r="H418" s="1">
        <v>28871.599999999999</v>
      </c>
      <c r="I418" t="s">
        <v>1057</v>
      </c>
      <c r="J418" t="s">
        <v>148</v>
      </c>
      <c r="L418" t="s">
        <v>141</v>
      </c>
      <c r="M418" s="1">
        <v>0</v>
      </c>
      <c r="N418" s="1">
        <v>0</v>
      </c>
      <c r="O418" t="s">
        <v>113</v>
      </c>
      <c r="P418" t="s">
        <v>26</v>
      </c>
    </row>
    <row r="419" spans="1:16" x14ac:dyDescent="0.2">
      <c r="A419" t="s">
        <v>141</v>
      </c>
      <c r="B419" t="s">
        <v>244</v>
      </c>
      <c r="C419" t="s">
        <v>1058</v>
      </c>
      <c r="D419" t="s">
        <v>1059</v>
      </c>
      <c r="E419" t="s">
        <v>96</v>
      </c>
      <c r="F419" t="s">
        <v>246</v>
      </c>
      <c r="G419" t="s">
        <v>244</v>
      </c>
      <c r="H419" s="1">
        <v>14973.9</v>
      </c>
      <c r="I419" t="s">
        <v>1060</v>
      </c>
      <c r="J419" t="s">
        <v>148</v>
      </c>
      <c r="L419" t="s">
        <v>141</v>
      </c>
      <c r="M419" s="1">
        <v>0</v>
      </c>
      <c r="N419" s="1">
        <v>0</v>
      </c>
      <c r="O419" t="s">
        <v>113</v>
      </c>
      <c r="P419" t="s">
        <v>26</v>
      </c>
    </row>
    <row r="420" spans="1:16" x14ac:dyDescent="0.2">
      <c r="A420" t="s">
        <v>141</v>
      </c>
      <c r="B420" t="s">
        <v>244</v>
      </c>
      <c r="C420" t="s">
        <v>307</v>
      </c>
      <c r="D420" t="s">
        <v>1061</v>
      </c>
      <c r="E420" t="s">
        <v>31</v>
      </c>
      <c r="F420" t="s">
        <v>246</v>
      </c>
      <c r="G420" t="s">
        <v>244</v>
      </c>
      <c r="H420" s="1">
        <v>18333</v>
      </c>
      <c r="I420" t="s">
        <v>1062</v>
      </c>
      <c r="J420" t="s">
        <v>148</v>
      </c>
      <c r="L420" t="s">
        <v>141</v>
      </c>
      <c r="M420" s="1">
        <v>0</v>
      </c>
      <c r="N420" s="1">
        <v>0</v>
      </c>
      <c r="O420" t="s">
        <v>113</v>
      </c>
      <c r="P420" t="s">
        <v>26</v>
      </c>
    </row>
    <row r="421" spans="1:16" x14ac:dyDescent="0.2">
      <c r="A421" t="s">
        <v>141</v>
      </c>
      <c r="B421" t="s">
        <v>244</v>
      </c>
      <c r="C421" t="s">
        <v>1039</v>
      </c>
      <c r="D421" t="s">
        <v>1063</v>
      </c>
      <c r="E421" t="s">
        <v>31</v>
      </c>
      <c r="F421" t="s">
        <v>246</v>
      </c>
      <c r="G421" t="s">
        <v>244</v>
      </c>
      <c r="H421" s="1">
        <v>25704</v>
      </c>
      <c r="I421" t="s">
        <v>1064</v>
      </c>
      <c r="J421" t="s">
        <v>148</v>
      </c>
      <c r="L421" t="s">
        <v>141</v>
      </c>
      <c r="M421" s="1">
        <v>0</v>
      </c>
      <c r="N421" s="1">
        <v>0</v>
      </c>
      <c r="O421" t="s">
        <v>113</v>
      </c>
      <c r="P421" t="s">
        <v>26</v>
      </c>
    </row>
    <row r="422" spans="1:16" x14ac:dyDescent="0.2">
      <c r="A422" t="s">
        <v>663</v>
      </c>
      <c r="B422" t="s">
        <v>661</v>
      </c>
      <c r="C422" t="s">
        <v>1000</v>
      </c>
      <c r="D422" t="s">
        <v>1065</v>
      </c>
      <c r="E422" t="s">
        <v>38</v>
      </c>
      <c r="F422" t="s">
        <v>660</v>
      </c>
      <c r="G422" t="s">
        <v>661</v>
      </c>
      <c r="H422" s="1">
        <v>67432.5</v>
      </c>
      <c r="I422" t="s">
        <v>1060</v>
      </c>
      <c r="J422" t="s">
        <v>148</v>
      </c>
      <c r="L422" t="s">
        <v>663</v>
      </c>
      <c r="M422" s="1">
        <v>0</v>
      </c>
      <c r="N422" s="1">
        <v>0</v>
      </c>
      <c r="O422" t="s">
        <v>261</v>
      </c>
      <c r="P422" t="s">
        <v>26</v>
      </c>
    </row>
    <row r="423" spans="1:16" x14ac:dyDescent="0.2">
      <c r="A423" t="s">
        <v>1066</v>
      </c>
      <c r="B423" t="s">
        <v>1067</v>
      </c>
      <c r="C423" t="s">
        <v>1068</v>
      </c>
      <c r="D423" t="s">
        <v>1069</v>
      </c>
      <c r="E423" t="s">
        <v>192</v>
      </c>
      <c r="F423" t="s">
        <v>1070</v>
      </c>
      <c r="G423" t="s">
        <v>1067</v>
      </c>
      <c r="H423" s="1">
        <v>4725</v>
      </c>
      <c r="I423" t="s">
        <v>1023</v>
      </c>
      <c r="J423" t="s">
        <v>148</v>
      </c>
      <c r="L423" t="s">
        <v>1066</v>
      </c>
      <c r="M423" s="1">
        <v>0</v>
      </c>
      <c r="N423" s="1">
        <v>0</v>
      </c>
      <c r="O423" t="s">
        <v>1071</v>
      </c>
      <c r="P423" t="s">
        <v>26</v>
      </c>
    </row>
    <row r="424" spans="1:16" x14ac:dyDescent="0.2">
      <c r="A424" t="s">
        <v>1701</v>
      </c>
      <c r="B424" t="s">
        <v>1072</v>
      </c>
      <c r="C424" t="s">
        <v>1073</v>
      </c>
      <c r="D424" t="s">
        <v>1074</v>
      </c>
      <c r="E424" t="s">
        <v>38</v>
      </c>
      <c r="F424" t="s">
        <v>1075</v>
      </c>
      <c r="G424" t="s">
        <v>1076</v>
      </c>
      <c r="H424" s="1">
        <v>6194.72</v>
      </c>
      <c r="I424" t="s">
        <v>678</v>
      </c>
      <c r="J424" t="s">
        <v>148</v>
      </c>
      <c r="L424" t="s">
        <v>663</v>
      </c>
      <c r="M424" s="1">
        <v>0</v>
      </c>
      <c r="N424" s="1">
        <v>0</v>
      </c>
      <c r="O424" t="s">
        <v>1077</v>
      </c>
      <c r="P424" t="s">
        <v>26</v>
      </c>
    </row>
    <row r="425" spans="1:16" x14ac:dyDescent="0.2">
      <c r="A425" t="s">
        <v>1066</v>
      </c>
      <c r="B425" t="s">
        <v>1078</v>
      </c>
      <c r="C425" t="s">
        <v>1079</v>
      </c>
      <c r="D425" t="s">
        <v>1080</v>
      </c>
      <c r="E425" t="s">
        <v>38</v>
      </c>
      <c r="F425" t="s">
        <v>1081</v>
      </c>
      <c r="G425" t="s">
        <v>1078</v>
      </c>
      <c r="H425" s="1">
        <v>144514</v>
      </c>
      <c r="I425" t="s">
        <v>1082</v>
      </c>
      <c r="J425" t="s">
        <v>148</v>
      </c>
      <c r="L425" t="s">
        <v>1066</v>
      </c>
      <c r="M425" s="1">
        <v>0</v>
      </c>
      <c r="N425" s="1">
        <v>0</v>
      </c>
      <c r="O425" t="s">
        <v>610</v>
      </c>
      <c r="P425" t="s">
        <v>26</v>
      </c>
    </row>
    <row r="426" spans="1:16" x14ac:dyDescent="0.2">
      <c r="A426" t="s">
        <v>1066</v>
      </c>
      <c r="B426" t="s">
        <v>1078</v>
      </c>
      <c r="C426" t="s">
        <v>1083</v>
      </c>
      <c r="D426" t="s">
        <v>1084</v>
      </c>
      <c r="E426" t="s">
        <v>38</v>
      </c>
      <c r="F426" t="s">
        <v>1081</v>
      </c>
      <c r="G426" t="s">
        <v>1078</v>
      </c>
      <c r="H426" s="1">
        <v>20240</v>
      </c>
      <c r="I426" t="s">
        <v>1085</v>
      </c>
      <c r="J426" t="s">
        <v>148</v>
      </c>
      <c r="L426" t="s">
        <v>1066</v>
      </c>
      <c r="M426" s="1">
        <v>0</v>
      </c>
      <c r="N426" s="1">
        <v>0</v>
      </c>
      <c r="O426" t="s">
        <v>610</v>
      </c>
      <c r="P426" t="s">
        <v>26</v>
      </c>
    </row>
    <row r="427" spans="1:16" x14ac:dyDescent="0.2">
      <c r="A427" t="s">
        <v>1066</v>
      </c>
      <c r="B427" t="s">
        <v>1078</v>
      </c>
      <c r="C427" t="s">
        <v>889</v>
      </c>
      <c r="D427">
        <v>11245</v>
      </c>
      <c r="E427" t="s">
        <v>38</v>
      </c>
      <c r="F427" t="s">
        <v>1081</v>
      </c>
      <c r="G427" t="s">
        <v>1078</v>
      </c>
      <c r="H427" s="1">
        <v>20240</v>
      </c>
      <c r="I427" t="s">
        <v>892</v>
      </c>
      <c r="J427" t="s">
        <v>148</v>
      </c>
      <c r="L427" t="s">
        <v>1066</v>
      </c>
      <c r="M427" s="1">
        <v>0</v>
      </c>
      <c r="N427" s="1">
        <v>0</v>
      </c>
      <c r="O427" t="s">
        <v>610</v>
      </c>
      <c r="P427" t="s">
        <v>26</v>
      </c>
    </row>
    <row r="428" spans="1:16" x14ac:dyDescent="0.2">
      <c r="A428" t="s">
        <v>1066</v>
      </c>
      <c r="B428" t="s">
        <v>1086</v>
      </c>
      <c r="C428" t="s">
        <v>1083</v>
      </c>
      <c r="D428" t="s">
        <v>1087</v>
      </c>
      <c r="E428" t="s">
        <v>38</v>
      </c>
      <c r="F428" t="s">
        <v>1088</v>
      </c>
      <c r="G428" t="s">
        <v>1086</v>
      </c>
      <c r="H428" s="1">
        <v>88920</v>
      </c>
      <c r="I428" t="s">
        <v>1089</v>
      </c>
      <c r="J428" t="s">
        <v>148</v>
      </c>
      <c r="L428" t="s">
        <v>1066</v>
      </c>
      <c r="M428" s="1">
        <v>0</v>
      </c>
      <c r="N428" s="1">
        <v>0</v>
      </c>
      <c r="O428" t="s">
        <v>1090</v>
      </c>
      <c r="P428" t="s">
        <v>26</v>
      </c>
    </row>
    <row r="429" spans="1:16" x14ac:dyDescent="0.2">
      <c r="A429" t="s">
        <v>1066</v>
      </c>
      <c r="B429" t="s">
        <v>1086</v>
      </c>
      <c r="C429" t="s">
        <v>264</v>
      </c>
      <c r="D429" t="s">
        <v>1091</v>
      </c>
      <c r="E429" t="s">
        <v>38</v>
      </c>
      <c r="F429" t="s">
        <v>1088</v>
      </c>
      <c r="G429" t="s">
        <v>1086</v>
      </c>
      <c r="H429" s="1">
        <v>74880</v>
      </c>
      <c r="I429" t="s">
        <v>1092</v>
      </c>
      <c r="J429" t="s">
        <v>148</v>
      </c>
      <c r="L429" t="s">
        <v>1066</v>
      </c>
      <c r="M429" s="1">
        <v>0</v>
      </c>
      <c r="N429" s="1">
        <v>0</v>
      </c>
      <c r="O429" t="s">
        <v>1090</v>
      </c>
      <c r="P429" t="s">
        <v>26</v>
      </c>
    </row>
    <row r="430" spans="1:16" x14ac:dyDescent="0.2">
      <c r="A430" t="s">
        <v>1066</v>
      </c>
      <c r="B430" t="s">
        <v>1086</v>
      </c>
      <c r="C430" t="s">
        <v>988</v>
      </c>
      <c r="D430" t="s">
        <v>1093</v>
      </c>
      <c r="E430" t="s">
        <v>38</v>
      </c>
      <c r="F430" t="s">
        <v>1088</v>
      </c>
      <c r="G430" t="s">
        <v>1086</v>
      </c>
      <c r="H430" s="1">
        <v>121680</v>
      </c>
      <c r="I430" t="s">
        <v>581</v>
      </c>
      <c r="J430" t="s">
        <v>148</v>
      </c>
      <c r="L430" t="s">
        <v>1066</v>
      </c>
      <c r="M430" s="1">
        <v>0</v>
      </c>
      <c r="N430" s="1">
        <v>0</v>
      </c>
      <c r="O430" t="s">
        <v>610</v>
      </c>
      <c r="P430" t="s">
        <v>26</v>
      </c>
    </row>
    <row r="431" spans="1:16" x14ac:dyDescent="0.2">
      <c r="A431" t="s">
        <v>110</v>
      </c>
      <c r="B431" t="s">
        <v>111</v>
      </c>
      <c r="C431" t="s">
        <v>912</v>
      </c>
      <c r="D431">
        <v>405460</v>
      </c>
      <c r="E431" t="s">
        <v>256</v>
      </c>
      <c r="F431" t="s">
        <v>241</v>
      </c>
      <c r="G431" t="s">
        <v>242</v>
      </c>
      <c r="H431" s="1">
        <v>22955.5</v>
      </c>
      <c r="I431" t="s">
        <v>914</v>
      </c>
      <c r="J431" t="s">
        <v>148</v>
      </c>
      <c r="L431" t="s">
        <v>110</v>
      </c>
      <c r="M431" s="1">
        <v>0</v>
      </c>
      <c r="N431" s="1">
        <v>0</v>
      </c>
      <c r="O431" t="s">
        <v>113</v>
      </c>
      <c r="P431" t="s">
        <v>26</v>
      </c>
    </row>
    <row r="432" spans="1:16" x14ac:dyDescent="0.2">
      <c r="A432" t="s">
        <v>110</v>
      </c>
      <c r="B432" t="s">
        <v>111</v>
      </c>
      <c r="C432" t="s">
        <v>356</v>
      </c>
      <c r="D432">
        <v>399895</v>
      </c>
      <c r="E432" t="s">
        <v>256</v>
      </c>
      <c r="F432" t="s">
        <v>241</v>
      </c>
      <c r="G432" t="s">
        <v>242</v>
      </c>
      <c r="H432" s="1">
        <v>93794.8</v>
      </c>
      <c r="I432" t="s">
        <v>1094</v>
      </c>
      <c r="J432" t="s">
        <v>148</v>
      </c>
      <c r="L432" t="s">
        <v>110</v>
      </c>
      <c r="M432" s="1">
        <v>0</v>
      </c>
      <c r="N432" s="1">
        <v>0</v>
      </c>
      <c r="O432" t="s">
        <v>113</v>
      </c>
      <c r="P432" t="s">
        <v>26</v>
      </c>
    </row>
    <row r="433" spans="1:16" x14ac:dyDescent="0.2">
      <c r="A433" t="s">
        <v>110</v>
      </c>
      <c r="B433" t="s">
        <v>111</v>
      </c>
      <c r="C433" t="s">
        <v>1095</v>
      </c>
      <c r="D433">
        <v>381947</v>
      </c>
      <c r="E433" t="s">
        <v>192</v>
      </c>
      <c r="F433" t="s">
        <v>241</v>
      </c>
      <c r="G433" t="s">
        <v>242</v>
      </c>
      <c r="H433" s="1">
        <v>50394.5</v>
      </c>
      <c r="I433" t="s">
        <v>1096</v>
      </c>
      <c r="J433" t="s">
        <v>148</v>
      </c>
      <c r="L433" t="s">
        <v>110</v>
      </c>
      <c r="M433" s="1">
        <v>0</v>
      </c>
      <c r="N433" s="1">
        <v>0</v>
      </c>
      <c r="O433" t="s">
        <v>113</v>
      </c>
      <c r="P433" t="s">
        <v>26</v>
      </c>
    </row>
    <row r="434" spans="1:16" x14ac:dyDescent="0.2">
      <c r="A434" t="s">
        <v>110</v>
      </c>
      <c r="B434" t="s">
        <v>111</v>
      </c>
      <c r="C434" t="s">
        <v>1097</v>
      </c>
      <c r="D434">
        <v>394509</v>
      </c>
      <c r="E434" t="s">
        <v>192</v>
      </c>
      <c r="F434" t="s">
        <v>241</v>
      </c>
      <c r="G434" t="s">
        <v>242</v>
      </c>
      <c r="H434" s="1">
        <v>98466.6</v>
      </c>
      <c r="I434" t="s">
        <v>1098</v>
      </c>
      <c r="J434" t="s">
        <v>148</v>
      </c>
      <c r="L434" t="s">
        <v>110</v>
      </c>
      <c r="M434" s="1">
        <v>0</v>
      </c>
      <c r="N434" s="1">
        <v>0</v>
      </c>
      <c r="O434" t="s">
        <v>113</v>
      </c>
      <c r="P434" t="s">
        <v>26</v>
      </c>
    </row>
    <row r="435" spans="1:16" x14ac:dyDescent="0.2">
      <c r="A435" t="s">
        <v>110</v>
      </c>
      <c r="B435" t="s">
        <v>111</v>
      </c>
      <c r="C435" t="s">
        <v>1099</v>
      </c>
      <c r="D435">
        <v>388871</v>
      </c>
      <c r="E435" t="s">
        <v>192</v>
      </c>
      <c r="F435" t="s">
        <v>241</v>
      </c>
      <c r="G435" t="s">
        <v>242</v>
      </c>
      <c r="H435" s="1">
        <v>29591.1</v>
      </c>
      <c r="I435" t="s">
        <v>1100</v>
      </c>
      <c r="J435" t="s">
        <v>148</v>
      </c>
      <c r="L435" t="s">
        <v>110</v>
      </c>
      <c r="M435" s="1">
        <v>0</v>
      </c>
      <c r="N435" s="1">
        <v>0</v>
      </c>
      <c r="O435" t="s">
        <v>113</v>
      </c>
      <c r="P435" t="s">
        <v>26</v>
      </c>
    </row>
    <row r="436" spans="1:16" x14ac:dyDescent="0.2">
      <c r="A436" t="s">
        <v>110</v>
      </c>
      <c r="B436" t="s">
        <v>111</v>
      </c>
      <c r="C436" t="s">
        <v>1101</v>
      </c>
      <c r="D436">
        <v>406323</v>
      </c>
      <c r="E436" t="s">
        <v>192</v>
      </c>
      <c r="F436" t="s">
        <v>241</v>
      </c>
      <c r="G436" t="s">
        <v>242</v>
      </c>
      <c r="H436" s="1">
        <v>5559.54</v>
      </c>
      <c r="I436" t="s">
        <v>940</v>
      </c>
      <c r="J436" t="s">
        <v>148</v>
      </c>
      <c r="L436" t="s">
        <v>110</v>
      </c>
      <c r="M436" s="1">
        <v>0</v>
      </c>
      <c r="N436" s="1">
        <v>0</v>
      </c>
      <c r="O436" t="s">
        <v>113</v>
      </c>
      <c r="P436" t="s">
        <v>26</v>
      </c>
    </row>
    <row r="437" spans="1:16" x14ac:dyDescent="0.2">
      <c r="A437" t="s">
        <v>110</v>
      </c>
      <c r="B437" t="s">
        <v>111</v>
      </c>
      <c r="C437" t="s">
        <v>1102</v>
      </c>
      <c r="D437">
        <v>391864</v>
      </c>
      <c r="E437" t="s">
        <v>192</v>
      </c>
      <c r="F437" t="s">
        <v>241</v>
      </c>
      <c r="G437" t="s">
        <v>242</v>
      </c>
      <c r="H437" s="1">
        <v>49318.5</v>
      </c>
      <c r="I437" t="s">
        <v>1103</v>
      </c>
      <c r="J437" t="s">
        <v>148</v>
      </c>
      <c r="L437" t="s">
        <v>110</v>
      </c>
      <c r="M437" s="1">
        <v>0</v>
      </c>
      <c r="N437" s="1">
        <v>0</v>
      </c>
      <c r="O437" t="s">
        <v>113</v>
      </c>
      <c r="P437" t="s">
        <v>26</v>
      </c>
    </row>
    <row r="438" spans="1:16" x14ac:dyDescent="0.2">
      <c r="A438" t="s">
        <v>110</v>
      </c>
      <c r="B438" t="s">
        <v>111</v>
      </c>
      <c r="C438" t="s">
        <v>658</v>
      </c>
      <c r="D438">
        <v>392267</v>
      </c>
      <c r="E438" t="s">
        <v>192</v>
      </c>
      <c r="F438" t="s">
        <v>241</v>
      </c>
      <c r="G438" t="s">
        <v>242</v>
      </c>
      <c r="H438" s="1">
        <v>49856.5</v>
      </c>
      <c r="I438" t="s">
        <v>1104</v>
      </c>
      <c r="J438" t="s">
        <v>148</v>
      </c>
      <c r="L438" t="s">
        <v>110</v>
      </c>
      <c r="M438" s="1">
        <v>0</v>
      </c>
      <c r="N438" s="1">
        <v>0</v>
      </c>
      <c r="O438" t="s">
        <v>113</v>
      </c>
      <c r="P438" t="s">
        <v>26</v>
      </c>
    </row>
    <row r="439" spans="1:16" x14ac:dyDescent="0.2">
      <c r="A439" t="s">
        <v>110</v>
      </c>
      <c r="B439" t="s">
        <v>111</v>
      </c>
      <c r="C439" t="s">
        <v>1105</v>
      </c>
      <c r="D439">
        <v>391969</v>
      </c>
      <c r="E439" t="s">
        <v>192</v>
      </c>
      <c r="F439" t="s">
        <v>241</v>
      </c>
      <c r="G439" t="s">
        <v>242</v>
      </c>
      <c r="H439" s="1">
        <v>78909.600000000006</v>
      </c>
      <c r="I439" t="s">
        <v>1106</v>
      </c>
      <c r="J439" t="s">
        <v>148</v>
      </c>
      <c r="L439" t="s">
        <v>110</v>
      </c>
      <c r="M439" s="1">
        <v>0</v>
      </c>
      <c r="N439" s="1">
        <v>0</v>
      </c>
      <c r="O439" t="s">
        <v>113</v>
      </c>
      <c r="P439" t="s">
        <v>26</v>
      </c>
    </row>
    <row r="440" spans="1:16" x14ac:dyDescent="0.2">
      <c r="A440" t="s">
        <v>110</v>
      </c>
      <c r="B440" t="s">
        <v>111</v>
      </c>
      <c r="C440" t="s">
        <v>1107</v>
      </c>
      <c r="D440">
        <v>392648</v>
      </c>
      <c r="E440" t="s">
        <v>192</v>
      </c>
      <c r="F440" t="s">
        <v>241</v>
      </c>
      <c r="G440" t="s">
        <v>242</v>
      </c>
      <c r="H440" s="1">
        <v>118364</v>
      </c>
      <c r="I440" t="s">
        <v>1108</v>
      </c>
      <c r="J440" t="s">
        <v>148</v>
      </c>
      <c r="L440" t="s">
        <v>110</v>
      </c>
      <c r="M440" s="1">
        <v>0</v>
      </c>
      <c r="N440" s="1">
        <v>0</v>
      </c>
      <c r="O440" t="s">
        <v>113</v>
      </c>
      <c r="P440" t="s">
        <v>26</v>
      </c>
    </row>
    <row r="441" spans="1:16" x14ac:dyDescent="0.2">
      <c r="A441" t="s">
        <v>110</v>
      </c>
      <c r="B441" t="s">
        <v>111</v>
      </c>
      <c r="C441" t="s">
        <v>1068</v>
      </c>
      <c r="D441">
        <v>399376</v>
      </c>
      <c r="E441" t="s">
        <v>192</v>
      </c>
      <c r="F441" t="s">
        <v>241</v>
      </c>
      <c r="G441" t="s">
        <v>242</v>
      </c>
      <c r="H441" s="1">
        <v>5380.2</v>
      </c>
      <c r="I441" t="s">
        <v>1023</v>
      </c>
      <c r="J441" t="s">
        <v>148</v>
      </c>
      <c r="L441" t="s">
        <v>110</v>
      </c>
      <c r="M441" s="1">
        <v>0</v>
      </c>
      <c r="N441" s="1">
        <v>0</v>
      </c>
      <c r="O441" t="s">
        <v>113</v>
      </c>
      <c r="P441" t="s">
        <v>26</v>
      </c>
    </row>
    <row r="442" spans="1:16" x14ac:dyDescent="0.2">
      <c r="A442" t="s">
        <v>110</v>
      </c>
      <c r="B442" t="s">
        <v>111</v>
      </c>
      <c r="C442" t="s">
        <v>380</v>
      </c>
      <c r="D442">
        <v>394508</v>
      </c>
      <c r="E442" t="s">
        <v>192</v>
      </c>
      <c r="F442" t="s">
        <v>241</v>
      </c>
      <c r="G442" t="s">
        <v>242</v>
      </c>
      <c r="H442" s="1">
        <v>197075</v>
      </c>
      <c r="I442" t="s">
        <v>1109</v>
      </c>
      <c r="J442" t="s">
        <v>148</v>
      </c>
      <c r="L442" t="s">
        <v>110</v>
      </c>
      <c r="M442" s="1">
        <v>0</v>
      </c>
      <c r="N442" s="1">
        <v>0</v>
      </c>
      <c r="O442" t="s">
        <v>113</v>
      </c>
      <c r="P442" t="s">
        <v>26</v>
      </c>
    </row>
    <row r="443" spans="1:16" x14ac:dyDescent="0.2">
      <c r="A443" t="s">
        <v>110</v>
      </c>
      <c r="B443" t="s">
        <v>111</v>
      </c>
      <c r="C443" t="s">
        <v>941</v>
      </c>
      <c r="D443">
        <v>390931</v>
      </c>
      <c r="E443" t="s">
        <v>192</v>
      </c>
      <c r="F443" t="s">
        <v>241</v>
      </c>
      <c r="G443" t="s">
        <v>242</v>
      </c>
      <c r="H443" s="1">
        <v>29591.1</v>
      </c>
      <c r="I443" t="s">
        <v>1110</v>
      </c>
      <c r="J443" t="s">
        <v>148</v>
      </c>
      <c r="L443" t="s">
        <v>110</v>
      </c>
      <c r="M443" s="1">
        <v>0</v>
      </c>
      <c r="N443" s="1">
        <v>0</v>
      </c>
      <c r="O443" t="s">
        <v>113</v>
      </c>
      <c r="P443" t="s">
        <v>26</v>
      </c>
    </row>
    <row r="444" spans="1:16" x14ac:dyDescent="0.2">
      <c r="A444" t="s">
        <v>110</v>
      </c>
      <c r="B444" t="s">
        <v>111</v>
      </c>
      <c r="C444" t="s">
        <v>1111</v>
      </c>
      <c r="D444">
        <v>398215</v>
      </c>
      <c r="E444" t="s">
        <v>192</v>
      </c>
      <c r="F444" t="s">
        <v>241</v>
      </c>
      <c r="G444" t="s">
        <v>242</v>
      </c>
      <c r="H444" s="1">
        <v>29232.400000000001</v>
      </c>
      <c r="I444" t="s">
        <v>1112</v>
      </c>
      <c r="J444" t="s">
        <v>148</v>
      </c>
      <c r="L444" t="s">
        <v>110</v>
      </c>
      <c r="M444" s="1">
        <v>0</v>
      </c>
      <c r="N444" s="1">
        <v>0</v>
      </c>
      <c r="O444" t="s">
        <v>113</v>
      </c>
      <c r="P444" t="s">
        <v>26</v>
      </c>
    </row>
    <row r="445" spans="1:16" x14ac:dyDescent="0.2">
      <c r="A445" t="s">
        <v>110</v>
      </c>
      <c r="B445" t="s">
        <v>111</v>
      </c>
      <c r="C445" t="s">
        <v>230</v>
      </c>
      <c r="D445">
        <v>384239</v>
      </c>
      <c r="E445" t="s">
        <v>192</v>
      </c>
      <c r="F445" t="s">
        <v>241</v>
      </c>
      <c r="G445" t="s">
        <v>242</v>
      </c>
      <c r="H445" s="1">
        <v>89670</v>
      </c>
      <c r="I445" t="s">
        <v>1113</v>
      </c>
      <c r="J445" t="s">
        <v>148</v>
      </c>
      <c r="L445" t="s">
        <v>110</v>
      </c>
      <c r="M445" s="1">
        <v>0</v>
      </c>
      <c r="N445" s="1">
        <v>0</v>
      </c>
      <c r="O445" t="s">
        <v>113</v>
      </c>
      <c r="P445" t="s">
        <v>26</v>
      </c>
    </row>
    <row r="446" spans="1:16" x14ac:dyDescent="0.2">
      <c r="A446" t="s">
        <v>110</v>
      </c>
      <c r="B446" t="s">
        <v>111</v>
      </c>
      <c r="C446" t="s">
        <v>605</v>
      </c>
      <c r="D446">
        <v>381754</v>
      </c>
      <c r="E446" t="s">
        <v>192</v>
      </c>
      <c r="F446" t="s">
        <v>241</v>
      </c>
      <c r="G446" t="s">
        <v>242</v>
      </c>
      <c r="H446" s="1">
        <v>236729</v>
      </c>
      <c r="I446" t="s">
        <v>1114</v>
      </c>
      <c r="J446" t="s">
        <v>148</v>
      </c>
      <c r="L446" t="s">
        <v>110</v>
      </c>
      <c r="M446" s="1">
        <v>0</v>
      </c>
      <c r="N446" s="1">
        <v>0</v>
      </c>
      <c r="O446" t="s">
        <v>113</v>
      </c>
      <c r="P446" t="s">
        <v>26</v>
      </c>
    </row>
    <row r="447" spans="1:16" x14ac:dyDescent="0.2">
      <c r="A447" t="s">
        <v>110</v>
      </c>
      <c r="B447" t="s">
        <v>111</v>
      </c>
      <c r="C447" t="s">
        <v>1079</v>
      </c>
      <c r="D447">
        <v>384396</v>
      </c>
      <c r="E447" t="s">
        <v>38</v>
      </c>
      <c r="F447" t="s">
        <v>241</v>
      </c>
      <c r="G447" t="s">
        <v>242</v>
      </c>
      <c r="H447" s="1">
        <v>151004</v>
      </c>
      <c r="I447" t="s">
        <v>1115</v>
      </c>
      <c r="J447" t="s">
        <v>148</v>
      </c>
      <c r="L447" t="s">
        <v>110</v>
      </c>
      <c r="M447" s="1">
        <v>0</v>
      </c>
      <c r="N447" s="1">
        <v>0</v>
      </c>
      <c r="O447" t="s">
        <v>113</v>
      </c>
      <c r="P447" t="s">
        <v>26</v>
      </c>
    </row>
    <row r="448" spans="1:16" x14ac:dyDescent="0.2">
      <c r="A448" t="s">
        <v>110</v>
      </c>
      <c r="B448" t="s">
        <v>111</v>
      </c>
      <c r="C448" t="s">
        <v>1116</v>
      </c>
      <c r="D448">
        <v>385955</v>
      </c>
      <c r="E448" t="s">
        <v>38</v>
      </c>
      <c r="F448" t="s">
        <v>241</v>
      </c>
      <c r="G448" t="s">
        <v>242</v>
      </c>
      <c r="H448" s="1">
        <v>49856.5</v>
      </c>
      <c r="I448" t="s">
        <v>1117</v>
      </c>
      <c r="J448" t="s">
        <v>148</v>
      </c>
      <c r="L448" t="s">
        <v>110</v>
      </c>
      <c r="M448" s="1">
        <v>0</v>
      </c>
      <c r="N448" s="1">
        <v>0</v>
      </c>
      <c r="O448" t="s">
        <v>113</v>
      </c>
      <c r="P448" t="s">
        <v>26</v>
      </c>
    </row>
    <row r="449" spans="1:16" x14ac:dyDescent="0.2">
      <c r="A449" t="s">
        <v>110</v>
      </c>
      <c r="B449" t="s">
        <v>111</v>
      </c>
      <c r="C449" t="s">
        <v>1118</v>
      </c>
      <c r="D449">
        <v>391542</v>
      </c>
      <c r="E449" t="s">
        <v>38</v>
      </c>
      <c r="F449" t="s">
        <v>241</v>
      </c>
      <c r="G449" t="s">
        <v>242</v>
      </c>
      <c r="H449" s="1">
        <v>74964.100000000006</v>
      </c>
      <c r="I449" t="s">
        <v>1119</v>
      </c>
      <c r="J449" t="s">
        <v>148</v>
      </c>
      <c r="L449" t="s">
        <v>110</v>
      </c>
      <c r="M449" s="1">
        <v>0</v>
      </c>
      <c r="N449" s="1">
        <v>0</v>
      </c>
      <c r="O449" t="s">
        <v>113</v>
      </c>
      <c r="P449" t="s">
        <v>26</v>
      </c>
    </row>
    <row r="450" spans="1:16" x14ac:dyDescent="0.2">
      <c r="A450" t="s">
        <v>110</v>
      </c>
      <c r="B450" t="s">
        <v>111</v>
      </c>
      <c r="C450" t="s">
        <v>1120</v>
      </c>
      <c r="D450">
        <v>383573</v>
      </c>
      <c r="E450" t="s">
        <v>38</v>
      </c>
      <c r="F450" t="s">
        <v>241</v>
      </c>
      <c r="G450" t="s">
        <v>242</v>
      </c>
      <c r="H450" s="1">
        <v>39762.199999999997</v>
      </c>
      <c r="I450" t="s">
        <v>1121</v>
      </c>
      <c r="J450" t="s">
        <v>148</v>
      </c>
      <c r="L450" t="s">
        <v>110</v>
      </c>
      <c r="M450" s="1">
        <v>0</v>
      </c>
      <c r="N450" s="1">
        <v>0</v>
      </c>
      <c r="O450" t="s">
        <v>113</v>
      </c>
      <c r="P450" t="s">
        <v>26</v>
      </c>
    </row>
    <row r="451" spans="1:16" x14ac:dyDescent="0.2">
      <c r="A451" t="s">
        <v>110</v>
      </c>
      <c r="B451" t="s">
        <v>111</v>
      </c>
      <c r="C451" t="s">
        <v>1122</v>
      </c>
      <c r="D451" t="s">
        <v>1123</v>
      </c>
      <c r="E451" t="s">
        <v>38</v>
      </c>
      <c r="F451" t="s">
        <v>241</v>
      </c>
      <c r="G451" t="s">
        <v>242</v>
      </c>
      <c r="H451" s="1">
        <v>152439</v>
      </c>
      <c r="I451" t="s">
        <v>1124</v>
      </c>
      <c r="J451" t="s">
        <v>148</v>
      </c>
      <c r="L451" t="s">
        <v>110</v>
      </c>
      <c r="M451" s="1">
        <v>0</v>
      </c>
      <c r="N451" s="1">
        <v>0</v>
      </c>
      <c r="O451" t="s">
        <v>113</v>
      </c>
      <c r="P451" t="s">
        <v>26</v>
      </c>
    </row>
    <row r="452" spans="1:16" x14ac:dyDescent="0.2">
      <c r="A452" t="s">
        <v>110</v>
      </c>
      <c r="B452" t="s">
        <v>111</v>
      </c>
      <c r="C452" t="s">
        <v>264</v>
      </c>
      <c r="D452">
        <v>399657</v>
      </c>
      <c r="E452" t="s">
        <v>38</v>
      </c>
      <c r="F452" t="s">
        <v>241</v>
      </c>
      <c r="G452" t="s">
        <v>242</v>
      </c>
      <c r="H452" s="1">
        <v>131456</v>
      </c>
      <c r="I452" t="s">
        <v>1092</v>
      </c>
      <c r="J452" t="s">
        <v>148</v>
      </c>
      <c r="L452" t="s">
        <v>110</v>
      </c>
      <c r="M452" s="1">
        <v>0</v>
      </c>
      <c r="N452" s="1">
        <v>0</v>
      </c>
      <c r="O452" t="s">
        <v>113</v>
      </c>
      <c r="P452" t="s">
        <v>26</v>
      </c>
    </row>
    <row r="453" spans="1:16" x14ac:dyDescent="0.2">
      <c r="A453" t="s">
        <v>110</v>
      </c>
      <c r="B453" t="s">
        <v>111</v>
      </c>
      <c r="C453" t="s">
        <v>980</v>
      </c>
      <c r="D453">
        <v>396234</v>
      </c>
      <c r="E453" t="s">
        <v>38</v>
      </c>
      <c r="F453" t="s">
        <v>241</v>
      </c>
      <c r="G453" t="s">
        <v>242</v>
      </c>
      <c r="H453" s="1">
        <v>24390.2</v>
      </c>
      <c r="I453" t="s">
        <v>1125</v>
      </c>
      <c r="J453" t="s">
        <v>148</v>
      </c>
      <c r="L453" t="s">
        <v>110</v>
      </c>
      <c r="M453" s="1">
        <v>0</v>
      </c>
      <c r="N453" s="1">
        <v>0</v>
      </c>
      <c r="O453" t="s">
        <v>113</v>
      </c>
      <c r="P453" t="s">
        <v>26</v>
      </c>
    </row>
    <row r="454" spans="1:16" x14ac:dyDescent="0.2">
      <c r="A454" t="s">
        <v>110</v>
      </c>
      <c r="B454" t="s">
        <v>111</v>
      </c>
      <c r="C454" t="s">
        <v>985</v>
      </c>
      <c r="D454">
        <v>394743</v>
      </c>
      <c r="E454" t="s">
        <v>38</v>
      </c>
      <c r="F454" t="s">
        <v>241</v>
      </c>
      <c r="G454" t="s">
        <v>242</v>
      </c>
      <c r="H454" s="1">
        <v>39275.5</v>
      </c>
      <c r="I454" t="s">
        <v>1126</v>
      </c>
      <c r="J454" t="s">
        <v>148</v>
      </c>
      <c r="L454" t="s">
        <v>110</v>
      </c>
      <c r="M454" s="1">
        <v>0</v>
      </c>
      <c r="N454" s="1">
        <v>0</v>
      </c>
      <c r="O454" t="s">
        <v>113</v>
      </c>
      <c r="P454" t="s">
        <v>26</v>
      </c>
    </row>
    <row r="455" spans="1:16" x14ac:dyDescent="0.2">
      <c r="A455" t="s">
        <v>110</v>
      </c>
      <c r="B455" t="s">
        <v>111</v>
      </c>
      <c r="C455" t="s">
        <v>889</v>
      </c>
      <c r="D455">
        <v>383068</v>
      </c>
      <c r="E455" t="s">
        <v>38</v>
      </c>
      <c r="F455" t="s">
        <v>241</v>
      </c>
      <c r="G455" t="s">
        <v>242</v>
      </c>
      <c r="H455" s="1">
        <v>50394.5</v>
      </c>
      <c r="I455" t="s">
        <v>1127</v>
      </c>
      <c r="J455" t="s">
        <v>148</v>
      </c>
      <c r="L455" t="s">
        <v>110</v>
      </c>
      <c r="M455" s="1">
        <v>0</v>
      </c>
      <c r="N455" s="1">
        <v>0</v>
      </c>
      <c r="O455" t="s">
        <v>113</v>
      </c>
      <c r="P455" t="s">
        <v>26</v>
      </c>
    </row>
    <row r="456" spans="1:16" x14ac:dyDescent="0.2">
      <c r="A456" t="s">
        <v>110</v>
      </c>
      <c r="B456" t="s">
        <v>111</v>
      </c>
      <c r="C456" t="s">
        <v>997</v>
      </c>
      <c r="D456">
        <v>393041</v>
      </c>
      <c r="E456" t="s">
        <v>38</v>
      </c>
      <c r="F456" t="s">
        <v>241</v>
      </c>
      <c r="G456" t="s">
        <v>242</v>
      </c>
      <c r="H456" s="1">
        <v>49139.199999999997</v>
      </c>
      <c r="I456" t="s">
        <v>999</v>
      </c>
      <c r="J456" t="s">
        <v>148</v>
      </c>
      <c r="L456" t="s">
        <v>110</v>
      </c>
      <c r="M456" s="1">
        <v>0</v>
      </c>
      <c r="N456" s="1">
        <v>0</v>
      </c>
      <c r="O456" t="s">
        <v>113</v>
      </c>
      <c r="P456" t="s">
        <v>26</v>
      </c>
    </row>
    <row r="457" spans="1:16" x14ac:dyDescent="0.2">
      <c r="A457" t="s">
        <v>110</v>
      </c>
      <c r="B457" t="s">
        <v>111</v>
      </c>
      <c r="C457" t="s">
        <v>1003</v>
      </c>
      <c r="D457">
        <v>404531</v>
      </c>
      <c r="E457" t="s">
        <v>71</v>
      </c>
      <c r="F457" t="s">
        <v>241</v>
      </c>
      <c r="G457" t="s">
        <v>242</v>
      </c>
      <c r="H457" s="1">
        <v>73888.100000000006</v>
      </c>
      <c r="I457" t="s">
        <v>1128</v>
      </c>
      <c r="J457" t="s">
        <v>148</v>
      </c>
      <c r="L457" t="s">
        <v>110</v>
      </c>
      <c r="M457" s="1">
        <v>0</v>
      </c>
      <c r="N457" s="1">
        <v>0</v>
      </c>
      <c r="O457" t="s">
        <v>113</v>
      </c>
      <c r="P457" t="s">
        <v>26</v>
      </c>
    </row>
    <row r="458" spans="1:16" x14ac:dyDescent="0.2">
      <c r="A458" t="s">
        <v>110</v>
      </c>
      <c r="B458" t="s">
        <v>111</v>
      </c>
      <c r="C458" t="s">
        <v>1129</v>
      </c>
      <c r="E458" t="s">
        <v>71</v>
      </c>
      <c r="F458" t="s">
        <v>241</v>
      </c>
      <c r="G458" t="s">
        <v>242</v>
      </c>
      <c r="H458" s="1">
        <v>166149</v>
      </c>
      <c r="I458" t="s">
        <v>581</v>
      </c>
      <c r="J458" t="s">
        <v>148</v>
      </c>
      <c r="L458" t="s">
        <v>110</v>
      </c>
      <c r="M458" s="1">
        <v>0</v>
      </c>
      <c r="N458" s="1">
        <v>0</v>
      </c>
      <c r="O458" t="s">
        <v>113</v>
      </c>
      <c r="P458" t="s">
        <v>26</v>
      </c>
    </row>
    <row r="459" spans="1:16" x14ac:dyDescent="0.2">
      <c r="A459" t="s">
        <v>110</v>
      </c>
      <c r="B459" t="s">
        <v>111</v>
      </c>
      <c r="C459" t="s">
        <v>437</v>
      </c>
      <c r="D459">
        <v>395088</v>
      </c>
      <c r="E459" t="s">
        <v>71</v>
      </c>
      <c r="F459" t="s">
        <v>241</v>
      </c>
      <c r="G459" t="s">
        <v>242</v>
      </c>
      <c r="H459" s="1">
        <v>216030</v>
      </c>
      <c r="I459" t="s">
        <v>1130</v>
      </c>
      <c r="J459" t="s">
        <v>148</v>
      </c>
      <c r="L459" t="s">
        <v>110</v>
      </c>
      <c r="M459" s="1">
        <v>0</v>
      </c>
      <c r="N459" s="1">
        <v>0</v>
      </c>
      <c r="O459" t="s">
        <v>113</v>
      </c>
      <c r="P459" t="s">
        <v>26</v>
      </c>
    </row>
    <row r="460" spans="1:16" x14ac:dyDescent="0.2">
      <c r="A460" t="s">
        <v>110</v>
      </c>
      <c r="B460" t="s">
        <v>111</v>
      </c>
      <c r="C460" t="s">
        <v>442</v>
      </c>
      <c r="D460">
        <v>394709</v>
      </c>
      <c r="E460" t="s">
        <v>71</v>
      </c>
      <c r="F460" t="s">
        <v>241</v>
      </c>
      <c r="G460" t="s">
        <v>242</v>
      </c>
      <c r="H460" s="1">
        <v>185143</v>
      </c>
      <c r="I460" t="s">
        <v>428</v>
      </c>
      <c r="J460" t="s">
        <v>148</v>
      </c>
      <c r="L460" t="s">
        <v>110</v>
      </c>
      <c r="M460" s="1">
        <v>0</v>
      </c>
      <c r="N460" s="1">
        <v>0</v>
      </c>
      <c r="O460" t="s">
        <v>113</v>
      </c>
      <c r="P460" t="s">
        <v>26</v>
      </c>
    </row>
    <row r="461" spans="1:16" x14ac:dyDescent="0.2">
      <c r="A461" t="s">
        <v>110</v>
      </c>
      <c r="B461" t="s">
        <v>111</v>
      </c>
      <c r="C461" t="s">
        <v>796</v>
      </c>
      <c r="D461">
        <v>394710</v>
      </c>
      <c r="E461" t="s">
        <v>71</v>
      </c>
      <c r="F461" t="s">
        <v>241</v>
      </c>
      <c r="G461" t="s">
        <v>242</v>
      </c>
      <c r="H461" s="1">
        <v>185143</v>
      </c>
      <c r="I461" t="s">
        <v>428</v>
      </c>
      <c r="J461" t="s">
        <v>148</v>
      </c>
      <c r="L461" t="s">
        <v>110</v>
      </c>
      <c r="M461" s="1">
        <v>0</v>
      </c>
      <c r="N461" s="1">
        <v>0</v>
      </c>
      <c r="O461" t="s">
        <v>113</v>
      </c>
      <c r="P461" t="s">
        <v>26</v>
      </c>
    </row>
    <row r="462" spans="1:16" x14ac:dyDescent="0.2">
      <c r="A462" t="s">
        <v>110</v>
      </c>
      <c r="B462" t="s">
        <v>111</v>
      </c>
      <c r="C462" t="s">
        <v>188</v>
      </c>
      <c r="D462">
        <v>395453</v>
      </c>
      <c r="E462" t="s">
        <v>19</v>
      </c>
      <c r="F462" t="s">
        <v>241</v>
      </c>
      <c r="G462" t="s">
        <v>242</v>
      </c>
      <c r="H462" s="1">
        <v>93760.8</v>
      </c>
      <c r="I462" t="s">
        <v>1131</v>
      </c>
      <c r="J462" t="s">
        <v>148</v>
      </c>
      <c r="L462" t="s">
        <v>110</v>
      </c>
      <c r="M462" s="1">
        <v>0</v>
      </c>
      <c r="N462" s="1">
        <v>0</v>
      </c>
      <c r="O462" t="s">
        <v>113</v>
      </c>
      <c r="P462" t="s">
        <v>26</v>
      </c>
    </row>
    <row r="463" spans="1:16" x14ac:dyDescent="0.2">
      <c r="A463" t="s">
        <v>110</v>
      </c>
      <c r="B463" t="s">
        <v>111</v>
      </c>
      <c r="C463" t="s">
        <v>1132</v>
      </c>
      <c r="D463">
        <v>391774</v>
      </c>
      <c r="E463" t="s">
        <v>31</v>
      </c>
      <c r="F463" t="s">
        <v>241</v>
      </c>
      <c r="G463" t="s">
        <v>242</v>
      </c>
      <c r="H463" s="1">
        <v>78730.3</v>
      </c>
      <c r="I463" t="s">
        <v>1103</v>
      </c>
      <c r="J463" t="s">
        <v>148</v>
      </c>
      <c r="L463" t="s">
        <v>110</v>
      </c>
      <c r="M463" s="1">
        <v>0</v>
      </c>
      <c r="N463" s="1">
        <v>0</v>
      </c>
      <c r="O463" t="s">
        <v>113</v>
      </c>
      <c r="P463" t="s">
        <v>26</v>
      </c>
    </row>
    <row r="464" spans="1:16" x14ac:dyDescent="0.2">
      <c r="A464" t="s">
        <v>110</v>
      </c>
      <c r="B464" t="s">
        <v>111</v>
      </c>
      <c r="C464" t="s">
        <v>1036</v>
      </c>
      <c r="D464">
        <v>406991</v>
      </c>
      <c r="E464" t="s">
        <v>31</v>
      </c>
      <c r="F464" t="s">
        <v>241</v>
      </c>
      <c r="G464" t="s">
        <v>242</v>
      </c>
      <c r="H464" s="1">
        <v>13809.2</v>
      </c>
      <c r="I464" t="s">
        <v>1133</v>
      </c>
      <c r="J464" t="s">
        <v>148</v>
      </c>
      <c r="L464" t="s">
        <v>110</v>
      </c>
      <c r="M464" s="1">
        <v>0</v>
      </c>
      <c r="N464" s="1">
        <v>0</v>
      </c>
      <c r="O464" t="s">
        <v>113</v>
      </c>
      <c r="P464" t="s">
        <v>26</v>
      </c>
    </row>
    <row r="465" spans="1:16" x14ac:dyDescent="0.2">
      <c r="A465" t="s">
        <v>110</v>
      </c>
      <c r="B465" t="s">
        <v>111</v>
      </c>
      <c r="C465" t="s">
        <v>1039</v>
      </c>
      <c r="D465">
        <v>405846</v>
      </c>
      <c r="E465" t="s">
        <v>31</v>
      </c>
      <c r="F465" t="s">
        <v>241</v>
      </c>
      <c r="G465" t="s">
        <v>242</v>
      </c>
      <c r="H465" s="1">
        <v>23134.9</v>
      </c>
      <c r="I465" t="s">
        <v>1064</v>
      </c>
      <c r="J465" t="s">
        <v>148</v>
      </c>
      <c r="L465" t="s">
        <v>110</v>
      </c>
      <c r="M465" s="1">
        <v>0</v>
      </c>
      <c r="N465" s="1">
        <v>0</v>
      </c>
      <c r="O465" t="s">
        <v>113</v>
      </c>
      <c r="P465" t="s">
        <v>26</v>
      </c>
    </row>
    <row r="466" spans="1:16" x14ac:dyDescent="0.2">
      <c r="A466" t="s">
        <v>110</v>
      </c>
      <c r="B466" t="s">
        <v>111</v>
      </c>
      <c r="C466" t="s">
        <v>1042</v>
      </c>
      <c r="D466">
        <v>406546</v>
      </c>
      <c r="E466" t="s">
        <v>31</v>
      </c>
      <c r="F466" t="s">
        <v>241</v>
      </c>
      <c r="G466" t="s">
        <v>242</v>
      </c>
      <c r="H466" s="1">
        <v>32950.5</v>
      </c>
      <c r="I466" t="s">
        <v>1060</v>
      </c>
      <c r="J466" t="s">
        <v>148</v>
      </c>
      <c r="L466" t="s">
        <v>110</v>
      </c>
      <c r="M466" s="1">
        <v>0</v>
      </c>
      <c r="N466" s="1">
        <v>0</v>
      </c>
      <c r="O466" t="s">
        <v>113</v>
      </c>
      <c r="P466" t="s">
        <v>26</v>
      </c>
    </row>
    <row r="467" spans="1:16" x14ac:dyDescent="0.2">
      <c r="B467" t="s">
        <v>111</v>
      </c>
      <c r="C467" t="s">
        <v>214</v>
      </c>
      <c r="D467" t="s">
        <v>1134</v>
      </c>
      <c r="H467" s="1"/>
      <c r="M467" s="1">
        <v>0</v>
      </c>
      <c r="N467" s="1">
        <v>-116979.09</v>
      </c>
      <c r="O467" t="s">
        <v>113</v>
      </c>
      <c r="P467" t="s">
        <v>26</v>
      </c>
    </row>
    <row r="468" spans="1:16" x14ac:dyDescent="0.2">
      <c r="B468" t="s">
        <v>111</v>
      </c>
      <c r="C468" t="s">
        <v>479</v>
      </c>
      <c r="D468">
        <v>391450</v>
      </c>
      <c r="H468" s="1"/>
      <c r="M468" s="1">
        <v>0</v>
      </c>
      <c r="N468" s="1">
        <v>-286944</v>
      </c>
      <c r="O468" t="s">
        <v>113</v>
      </c>
      <c r="P468" t="s">
        <v>26</v>
      </c>
    </row>
    <row r="469" spans="1:16" x14ac:dyDescent="0.2">
      <c r="B469" t="s">
        <v>111</v>
      </c>
      <c r="C469" t="s">
        <v>211</v>
      </c>
      <c r="D469">
        <v>379535</v>
      </c>
      <c r="H469" s="1"/>
      <c r="M469" s="1">
        <v>0</v>
      </c>
      <c r="N469" s="1">
        <v>-19526.099999999999</v>
      </c>
      <c r="O469" t="s">
        <v>113</v>
      </c>
      <c r="P469" t="s">
        <v>26</v>
      </c>
    </row>
    <row r="470" spans="1:16" x14ac:dyDescent="0.2">
      <c r="B470" t="s">
        <v>111</v>
      </c>
      <c r="C470" t="s">
        <v>211</v>
      </c>
      <c r="D470" t="s">
        <v>1135</v>
      </c>
      <c r="H470" s="1"/>
      <c r="M470" s="1">
        <v>0</v>
      </c>
      <c r="N470" s="1">
        <v>-77749.38</v>
      </c>
      <c r="O470" t="s">
        <v>113</v>
      </c>
      <c r="P470" t="s">
        <v>26</v>
      </c>
    </row>
    <row r="471" spans="1:16" x14ac:dyDescent="0.2">
      <c r="A471" t="s">
        <v>110</v>
      </c>
      <c r="B471" t="s">
        <v>1136</v>
      </c>
      <c r="C471" t="s">
        <v>580</v>
      </c>
      <c r="D471">
        <v>406943</v>
      </c>
      <c r="E471" t="s">
        <v>256</v>
      </c>
      <c r="F471" t="s">
        <v>1137</v>
      </c>
      <c r="G471" t="s">
        <v>1138</v>
      </c>
      <c r="H471" s="1">
        <v>3457.63</v>
      </c>
      <c r="I471" t="s">
        <v>1139</v>
      </c>
      <c r="J471" t="s">
        <v>148</v>
      </c>
      <c r="L471" t="s">
        <v>110</v>
      </c>
      <c r="M471" s="1">
        <v>0</v>
      </c>
      <c r="N471" s="1">
        <v>0</v>
      </c>
      <c r="O471" t="s">
        <v>261</v>
      </c>
      <c r="P471" t="s">
        <v>26</v>
      </c>
    </row>
    <row r="472" spans="1:16" x14ac:dyDescent="0.2">
      <c r="A472" t="s">
        <v>110</v>
      </c>
      <c r="B472" t="s">
        <v>1136</v>
      </c>
      <c r="C472" t="s">
        <v>1052</v>
      </c>
      <c r="D472">
        <v>405936</v>
      </c>
      <c r="E472" t="s">
        <v>192</v>
      </c>
      <c r="F472" t="s">
        <v>1137</v>
      </c>
      <c r="G472" t="s">
        <v>1138</v>
      </c>
      <c r="H472" s="1">
        <v>36717.699999999997</v>
      </c>
      <c r="I472" t="s">
        <v>1140</v>
      </c>
      <c r="J472" t="s">
        <v>148</v>
      </c>
      <c r="L472" t="s">
        <v>110</v>
      </c>
      <c r="M472" s="1">
        <v>0</v>
      </c>
      <c r="N472" s="1">
        <v>0</v>
      </c>
      <c r="O472" t="s">
        <v>261</v>
      </c>
      <c r="P472" t="s">
        <v>26</v>
      </c>
    </row>
    <row r="473" spans="1:16" x14ac:dyDescent="0.2">
      <c r="A473" t="s">
        <v>110</v>
      </c>
      <c r="B473" t="s">
        <v>1136</v>
      </c>
      <c r="C473" t="s">
        <v>156</v>
      </c>
      <c r="D473">
        <v>404595</v>
      </c>
      <c r="E473" t="s">
        <v>38</v>
      </c>
      <c r="F473" t="s">
        <v>1137</v>
      </c>
      <c r="G473" t="s">
        <v>1138</v>
      </c>
      <c r="H473" s="1">
        <v>52451.199999999997</v>
      </c>
      <c r="I473" t="s">
        <v>1141</v>
      </c>
      <c r="J473" t="s">
        <v>148</v>
      </c>
      <c r="L473" t="s">
        <v>110</v>
      </c>
      <c r="M473" s="1">
        <v>0</v>
      </c>
      <c r="N473" s="1">
        <v>0</v>
      </c>
      <c r="O473" t="s">
        <v>261</v>
      </c>
      <c r="P473" t="s">
        <v>26</v>
      </c>
    </row>
    <row r="474" spans="1:16" x14ac:dyDescent="0.2">
      <c r="A474" t="s">
        <v>110</v>
      </c>
      <c r="B474" t="s">
        <v>1136</v>
      </c>
      <c r="C474" t="s">
        <v>970</v>
      </c>
      <c r="D474">
        <v>404594</v>
      </c>
      <c r="E474" t="s">
        <v>38</v>
      </c>
      <c r="F474" t="s">
        <v>1137</v>
      </c>
      <c r="G474" t="s">
        <v>1138</v>
      </c>
      <c r="H474" s="1">
        <v>52451.199999999997</v>
      </c>
      <c r="I474" t="s">
        <v>1141</v>
      </c>
      <c r="J474" t="s">
        <v>148</v>
      </c>
      <c r="L474" t="s">
        <v>110</v>
      </c>
      <c r="M474" s="1">
        <v>0</v>
      </c>
      <c r="N474" s="1">
        <v>0</v>
      </c>
      <c r="O474" t="s">
        <v>261</v>
      </c>
      <c r="P474" t="s">
        <v>26</v>
      </c>
    </row>
    <row r="475" spans="1:16" x14ac:dyDescent="0.2">
      <c r="A475" t="s">
        <v>110</v>
      </c>
      <c r="B475" t="s">
        <v>1136</v>
      </c>
      <c r="C475" t="s">
        <v>988</v>
      </c>
      <c r="D475">
        <v>406784</v>
      </c>
      <c r="E475" t="s">
        <v>38</v>
      </c>
      <c r="F475" t="s">
        <v>1137</v>
      </c>
      <c r="G475" t="s">
        <v>1138</v>
      </c>
      <c r="H475" s="1">
        <v>166978</v>
      </c>
      <c r="I475" t="s">
        <v>1142</v>
      </c>
      <c r="J475" t="s">
        <v>148</v>
      </c>
      <c r="L475" t="s">
        <v>110</v>
      </c>
      <c r="M475" s="1">
        <v>0</v>
      </c>
      <c r="N475" s="1">
        <v>0</v>
      </c>
      <c r="O475" t="s">
        <v>261</v>
      </c>
      <c r="P475" t="s">
        <v>26</v>
      </c>
    </row>
    <row r="476" spans="1:16" x14ac:dyDescent="0.2">
      <c r="A476" t="s">
        <v>110</v>
      </c>
      <c r="B476" t="s">
        <v>1136</v>
      </c>
      <c r="C476" t="s">
        <v>1000</v>
      </c>
      <c r="D476">
        <v>406222</v>
      </c>
      <c r="E476" t="s">
        <v>38</v>
      </c>
      <c r="F476" t="s">
        <v>1137</v>
      </c>
      <c r="G476" t="s">
        <v>1138</v>
      </c>
      <c r="H476" s="1">
        <v>64693</v>
      </c>
      <c r="I476" t="s">
        <v>1143</v>
      </c>
      <c r="J476" t="s">
        <v>148</v>
      </c>
      <c r="L476" t="s">
        <v>110</v>
      </c>
      <c r="M476" s="1">
        <v>0</v>
      </c>
      <c r="N476" s="1">
        <v>0</v>
      </c>
      <c r="O476" t="s">
        <v>261</v>
      </c>
      <c r="P476" t="s">
        <v>26</v>
      </c>
    </row>
    <row r="477" spans="1:16" x14ac:dyDescent="0.2">
      <c r="A477" t="s">
        <v>110</v>
      </c>
      <c r="B477" t="s">
        <v>258</v>
      </c>
      <c r="C477" t="s">
        <v>400</v>
      </c>
      <c r="D477">
        <v>386779</v>
      </c>
      <c r="E477" t="s">
        <v>38</v>
      </c>
      <c r="F477" t="s">
        <v>260</v>
      </c>
      <c r="G477" t="s">
        <v>258</v>
      </c>
      <c r="H477" s="1">
        <v>9231</v>
      </c>
      <c r="I477" t="s">
        <v>1144</v>
      </c>
      <c r="J477" t="s">
        <v>148</v>
      </c>
      <c r="L477" t="s">
        <v>110</v>
      </c>
      <c r="M477" s="1">
        <v>0</v>
      </c>
      <c r="N477" s="1">
        <v>0</v>
      </c>
      <c r="O477" t="s">
        <v>113</v>
      </c>
      <c r="P477" t="s">
        <v>26</v>
      </c>
    </row>
    <row r="478" spans="1:16" x14ac:dyDescent="0.2">
      <c r="A478" t="s">
        <v>110</v>
      </c>
      <c r="B478" t="s">
        <v>258</v>
      </c>
      <c r="C478" t="s">
        <v>1145</v>
      </c>
      <c r="D478">
        <v>404515</v>
      </c>
      <c r="E478" t="s">
        <v>203</v>
      </c>
      <c r="F478" t="s">
        <v>260</v>
      </c>
      <c r="G478" t="s">
        <v>258</v>
      </c>
      <c r="H478" s="1">
        <v>107541</v>
      </c>
      <c r="I478" t="s">
        <v>1146</v>
      </c>
      <c r="J478" t="s">
        <v>148</v>
      </c>
      <c r="L478" t="s">
        <v>110</v>
      </c>
      <c r="M478" s="1">
        <v>0</v>
      </c>
      <c r="N478" s="1">
        <v>0</v>
      </c>
      <c r="O478" t="s">
        <v>261</v>
      </c>
      <c r="P478" t="s">
        <v>26</v>
      </c>
    </row>
    <row r="479" spans="1:16" x14ac:dyDescent="0.2">
      <c r="A479" t="s">
        <v>110</v>
      </c>
      <c r="B479" t="s">
        <v>258</v>
      </c>
      <c r="C479" t="s">
        <v>655</v>
      </c>
      <c r="D479">
        <v>409323</v>
      </c>
      <c r="E479" t="s">
        <v>203</v>
      </c>
      <c r="F479" t="s">
        <v>260</v>
      </c>
      <c r="G479" t="s">
        <v>258</v>
      </c>
      <c r="H479" s="1">
        <v>47078.1</v>
      </c>
      <c r="I479" t="s">
        <v>1147</v>
      </c>
      <c r="J479" t="s">
        <v>148</v>
      </c>
      <c r="L479" t="s">
        <v>110</v>
      </c>
      <c r="M479" s="1">
        <v>0</v>
      </c>
      <c r="N479" s="1">
        <v>0</v>
      </c>
      <c r="O479" t="s">
        <v>261</v>
      </c>
      <c r="P479" t="s">
        <v>26</v>
      </c>
    </row>
    <row r="480" spans="1:16" x14ac:dyDescent="0.2">
      <c r="A480" t="s">
        <v>110</v>
      </c>
      <c r="B480" t="s">
        <v>258</v>
      </c>
      <c r="C480" t="s">
        <v>1148</v>
      </c>
      <c r="D480">
        <v>401783</v>
      </c>
      <c r="E480" t="s">
        <v>203</v>
      </c>
      <c r="F480" t="s">
        <v>260</v>
      </c>
      <c r="G480" t="s">
        <v>258</v>
      </c>
      <c r="H480" s="1">
        <v>109849</v>
      </c>
      <c r="I480" t="s">
        <v>1149</v>
      </c>
      <c r="J480" t="s">
        <v>148</v>
      </c>
      <c r="L480" t="s">
        <v>110</v>
      </c>
      <c r="M480" s="1">
        <v>0</v>
      </c>
      <c r="N480" s="1">
        <v>0</v>
      </c>
      <c r="O480" t="s">
        <v>261</v>
      </c>
      <c r="P480" t="s">
        <v>26</v>
      </c>
    </row>
    <row r="481" spans="1:16" x14ac:dyDescent="0.2">
      <c r="A481" t="s">
        <v>110</v>
      </c>
      <c r="B481" t="s">
        <v>258</v>
      </c>
      <c r="C481" t="s">
        <v>1150</v>
      </c>
      <c r="D481">
        <v>408484</v>
      </c>
      <c r="E481" t="s">
        <v>203</v>
      </c>
      <c r="F481" t="s">
        <v>260</v>
      </c>
      <c r="G481" t="s">
        <v>258</v>
      </c>
      <c r="H481" s="1">
        <v>93694.6</v>
      </c>
      <c r="I481" t="s">
        <v>1151</v>
      </c>
      <c r="J481" t="s">
        <v>148</v>
      </c>
      <c r="L481" t="s">
        <v>110</v>
      </c>
      <c r="M481" s="1">
        <v>0</v>
      </c>
      <c r="N481" s="1">
        <v>0</v>
      </c>
      <c r="O481" t="s">
        <v>261</v>
      </c>
      <c r="P481" t="s">
        <v>26</v>
      </c>
    </row>
    <row r="482" spans="1:16" x14ac:dyDescent="0.2">
      <c r="A482" t="s">
        <v>110</v>
      </c>
      <c r="B482" t="s">
        <v>258</v>
      </c>
      <c r="C482" t="s">
        <v>1152</v>
      </c>
      <c r="D482">
        <v>406253</v>
      </c>
      <c r="E482" t="s">
        <v>203</v>
      </c>
      <c r="F482" t="s">
        <v>260</v>
      </c>
      <c r="G482" t="s">
        <v>258</v>
      </c>
      <c r="H482" s="1">
        <v>98310.1</v>
      </c>
      <c r="I482" t="s">
        <v>1153</v>
      </c>
      <c r="J482" t="s">
        <v>148</v>
      </c>
      <c r="L482" t="s">
        <v>110</v>
      </c>
      <c r="M482" s="1">
        <v>0</v>
      </c>
      <c r="N482" s="1">
        <v>0</v>
      </c>
      <c r="O482" t="s">
        <v>261</v>
      </c>
      <c r="P482" t="s">
        <v>26</v>
      </c>
    </row>
    <row r="483" spans="1:16" x14ac:dyDescent="0.2">
      <c r="A483" t="s">
        <v>110</v>
      </c>
      <c r="B483" t="s">
        <v>258</v>
      </c>
      <c r="C483" t="s">
        <v>1027</v>
      </c>
      <c r="D483">
        <v>403463</v>
      </c>
      <c r="E483" t="s">
        <v>203</v>
      </c>
      <c r="F483" t="s">
        <v>260</v>
      </c>
      <c r="G483" t="s">
        <v>258</v>
      </c>
      <c r="H483" s="1">
        <v>323085</v>
      </c>
      <c r="I483" t="s">
        <v>1154</v>
      </c>
      <c r="J483" t="s">
        <v>148</v>
      </c>
      <c r="L483" t="s">
        <v>110</v>
      </c>
      <c r="M483" s="1">
        <v>0</v>
      </c>
      <c r="N483" s="1">
        <v>0</v>
      </c>
      <c r="O483" t="s">
        <v>261</v>
      </c>
      <c r="P483" t="s">
        <v>26</v>
      </c>
    </row>
    <row r="484" spans="1:16" x14ac:dyDescent="0.2">
      <c r="A484" t="s">
        <v>110</v>
      </c>
      <c r="B484" t="s">
        <v>258</v>
      </c>
      <c r="C484" t="s">
        <v>1030</v>
      </c>
      <c r="D484">
        <v>401784</v>
      </c>
      <c r="E484" t="s">
        <v>203</v>
      </c>
      <c r="F484" t="s">
        <v>260</v>
      </c>
      <c r="G484" t="s">
        <v>258</v>
      </c>
      <c r="H484" s="1">
        <v>439857</v>
      </c>
      <c r="I484" t="s">
        <v>1155</v>
      </c>
      <c r="J484" t="s">
        <v>148</v>
      </c>
      <c r="L484" t="s">
        <v>110</v>
      </c>
      <c r="M484" s="1">
        <v>0</v>
      </c>
      <c r="N484" s="1">
        <v>0</v>
      </c>
      <c r="O484" t="s">
        <v>113</v>
      </c>
      <c r="P484" t="s">
        <v>26</v>
      </c>
    </row>
    <row r="485" spans="1:16" x14ac:dyDescent="0.2">
      <c r="A485" t="s">
        <v>110</v>
      </c>
      <c r="B485" t="s">
        <v>1156</v>
      </c>
      <c r="C485" t="s">
        <v>1157</v>
      </c>
      <c r="D485" t="s">
        <v>1158</v>
      </c>
      <c r="E485" t="s">
        <v>44</v>
      </c>
      <c r="F485" t="s">
        <v>45</v>
      </c>
      <c r="G485" t="s">
        <v>46</v>
      </c>
      <c r="H485" s="1">
        <v>52464</v>
      </c>
      <c r="I485" t="s">
        <v>756</v>
      </c>
      <c r="J485" t="s">
        <v>23</v>
      </c>
      <c r="L485" t="s">
        <v>48</v>
      </c>
      <c r="M485" s="1">
        <v>0</v>
      </c>
      <c r="N485" s="1">
        <v>-15000</v>
      </c>
      <c r="O485" t="s">
        <v>261</v>
      </c>
      <c r="P485" t="s">
        <v>26</v>
      </c>
    </row>
    <row r="486" spans="1:16" x14ac:dyDescent="0.2">
      <c r="A486" t="s">
        <v>603</v>
      </c>
      <c r="B486" t="s">
        <v>884</v>
      </c>
      <c r="C486" t="s">
        <v>417</v>
      </c>
      <c r="D486" t="s">
        <v>1159</v>
      </c>
      <c r="E486" t="s">
        <v>38</v>
      </c>
      <c r="F486" t="s">
        <v>883</v>
      </c>
      <c r="G486" t="s">
        <v>884</v>
      </c>
      <c r="H486" s="1">
        <v>30625</v>
      </c>
      <c r="I486" t="s">
        <v>1160</v>
      </c>
      <c r="J486" t="s">
        <v>148</v>
      </c>
      <c r="L486" t="s">
        <v>603</v>
      </c>
      <c r="M486" s="1">
        <v>0</v>
      </c>
      <c r="N486" s="1">
        <v>0</v>
      </c>
      <c r="O486" t="s">
        <v>1161</v>
      </c>
      <c r="P486" t="s">
        <v>26</v>
      </c>
    </row>
    <row r="487" spans="1:16" x14ac:dyDescent="0.2">
      <c r="A487" t="s">
        <v>603</v>
      </c>
      <c r="B487" t="s">
        <v>884</v>
      </c>
      <c r="C487" t="s">
        <v>417</v>
      </c>
      <c r="D487" t="s">
        <v>1162</v>
      </c>
      <c r="E487" t="s">
        <v>38</v>
      </c>
      <c r="F487" t="s">
        <v>883</v>
      </c>
      <c r="G487" t="s">
        <v>884</v>
      </c>
      <c r="H487" s="1">
        <v>12250</v>
      </c>
      <c r="I487" t="s">
        <v>1163</v>
      </c>
      <c r="J487" t="s">
        <v>148</v>
      </c>
      <c r="L487" t="s">
        <v>603</v>
      </c>
      <c r="M487" s="1">
        <v>0</v>
      </c>
      <c r="N487" s="1">
        <v>0</v>
      </c>
      <c r="O487" t="s">
        <v>1161</v>
      </c>
      <c r="P487" t="s">
        <v>26</v>
      </c>
    </row>
    <row r="488" spans="1:16" x14ac:dyDescent="0.2">
      <c r="A488" t="s">
        <v>603</v>
      </c>
      <c r="B488" t="s">
        <v>884</v>
      </c>
      <c r="C488" t="s">
        <v>154</v>
      </c>
      <c r="D488" t="s">
        <v>1164</v>
      </c>
      <c r="E488" t="s">
        <v>128</v>
      </c>
      <c r="F488" t="s">
        <v>883</v>
      </c>
      <c r="G488" t="s">
        <v>884</v>
      </c>
      <c r="H488" s="1">
        <v>38054.6</v>
      </c>
      <c r="I488" t="s">
        <v>1165</v>
      </c>
      <c r="J488" t="s">
        <v>148</v>
      </c>
      <c r="L488" t="s">
        <v>603</v>
      </c>
      <c r="M488" s="1">
        <v>0</v>
      </c>
      <c r="N488" s="1">
        <v>0</v>
      </c>
      <c r="O488" t="s">
        <v>1161</v>
      </c>
      <c r="P488" t="s">
        <v>26</v>
      </c>
    </row>
    <row r="489" spans="1:16" x14ac:dyDescent="0.2">
      <c r="A489" t="s">
        <v>603</v>
      </c>
      <c r="B489" t="s">
        <v>884</v>
      </c>
      <c r="C489" t="s">
        <v>154</v>
      </c>
      <c r="D489" t="s">
        <v>1166</v>
      </c>
      <c r="E489" t="s">
        <v>128</v>
      </c>
      <c r="F489" t="s">
        <v>883</v>
      </c>
      <c r="G489" t="s">
        <v>884</v>
      </c>
      <c r="H489" s="1">
        <v>44397</v>
      </c>
      <c r="I489" t="s">
        <v>1167</v>
      </c>
      <c r="J489" t="s">
        <v>148</v>
      </c>
      <c r="L489" t="s">
        <v>603</v>
      </c>
      <c r="M489" s="1">
        <v>0</v>
      </c>
      <c r="N489" s="1">
        <v>0</v>
      </c>
      <c r="O489" t="s">
        <v>1161</v>
      </c>
      <c r="P489" t="s">
        <v>26</v>
      </c>
    </row>
    <row r="490" spans="1:16" x14ac:dyDescent="0.2">
      <c r="A490" t="s">
        <v>887</v>
      </c>
      <c r="B490" t="s">
        <v>891</v>
      </c>
      <c r="C490" t="s">
        <v>1095</v>
      </c>
      <c r="D490" t="s">
        <v>1168</v>
      </c>
      <c r="E490" t="s">
        <v>192</v>
      </c>
      <c r="F490" t="s">
        <v>890</v>
      </c>
      <c r="G490" t="s">
        <v>891</v>
      </c>
      <c r="H490" s="1">
        <v>47932.3</v>
      </c>
      <c r="I490" t="s">
        <v>1169</v>
      </c>
      <c r="J490" t="s">
        <v>148</v>
      </c>
      <c r="L490" t="s">
        <v>887</v>
      </c>
      <c r="M490" s="1">
        <v>0</v>
      </c>
      <c r="N490" s="1">
        <v>0</v>
      </c>
      <c r="O490" t="s">
        <v>610</v>
      </c>
      <c r="P490" t="s">
        <v>26</v>
      </c>
    </row>
    <row r="491" spans="1:16" x14ac:dyDescent="0.2">
      <c r="A491" t="s">
        <v>887</v>
      </c>
      <c r="B491" t="s">
        <v>891</v>
      </c>
      <c r="C491" t="s">
        <v>1099</v>
      </c>
      <c r="D491" t="s">
        <v>1170</v>
      </c>
      <c r="E491" t="s">
        <v>192</v>
      </c>
      <c r="F491" t="s">
        <v>890</v>
      </c>
      <c r="G491" t="s">
        <v>891</v>
      </c>
      <c r="H491" s="1">
        <v>41940.800000000003</v>
      </c>
      <c r="I491" t="s">
        <v>1171</v>
      </c>
      <c r="J491" t="s">
        <v>148</v>
      </c>
      <c r="L491" t="s">
        <v>887</v>
      </c>
      <c r="M491" s="1">
        <v>0</v>
      </c>
      <c r="N491" s="1">
        <v>0</v>
      </c>
      <c r="O491" t="s">
        <v>610</v>
      </c>
      <c r="P491" t="s">
        <v>26</v>
      </c>
    </row>
    <row r="492" spans="1:16" x14ac:dyDescent="0.2">
      <c r="A492" t="s">
        <v>887</v>
      </c>
      <c r="B492" t="s">
        <v>891</v>
      </c>
      <c r="C492" t="s">
        <v>605</v>
      </c>
      <c r="D492" t="s">
        <v>1172</v>
      </c>
      <c r="E492" t="s">
        <v>192</v>
      </c>
      <c r="F492" t="s">
        <v>890</v>
      </c>
      <c r="G492" t="s">
        <v>891</v>
      </c>
      <c r="H492" s="1">
        <v>222686</v>
      </c>
      <c r="I492" t="s">
        <v>609</v>
      </c>
      <c r="J492" t="s">
        <v>148</v>
      </c>
      <c r="L492" t="s">
        <v>887</v>
      </c>
      <c r="M492" s="1">
        <v>0</v>
      </c>
      <c r="N492" s="1">
        <v>0</v>
      </c>
      <c r="O492" t="s">
        <v>610</v>
      </c>
      <c r="P492" t="s">
        <v>26</v>
      </c>
    </row>
    <row r="493" spans="1:16" x14ac:dyDescent="0.2">
      <c r="A493" t="s">
        <v>887</v>
      </c>
      <c r="B493" t="s">
        <v>891</v>
      </c>
      <c r="C493" t="s">
        <v>1122</v>
      </c>
      <c r="D493" t="s">
        <v>1173</v>
      </c>
      <c r="E493" t="s">
        <v>38</v>
      </c>
      <c r="F493" t="s">
        <v>890</v>
      </c>
      <c r="G493" t="s">
        <v>891</v>
      </c>
      <c r="H493" s="1">
        <v>144796</v>
      </c>
      <c r="I493" t="s">
        <v>1124</v>
      </c>
      <c r="J493" t="s">
        <v>148</v>
      </c>
      <c r="L493" t="s">
        <v>887</v>
      </c>
      <c r="M493" s="1">
        <v>0</v>
      </c>
      <c r="N493" s="1">
        <v>0</v>
      </c>
      <c r="O493" t="s">
        <v>610</v>
      </c>
      <c r="P493" t="s">
        <v>26</v>
      </c>
    </row>
    <row r="494" spans="1:16" x14ac:dyDescent="0.2">
      <c r="A494" t="s">
        <v>887</v>
      </c>
      <c r="B494" t="s">
        <v>891</v>
      </c>
      <c r="C494" t="s">
        <v>1083</v>
      </c>
      <c r="D494" t="s">
        <v>1174</v>
      </c>
      <c r="E494" t="s">
        <v>38</v>
      </c>
      <c r="F494" t="s">
        <v>890</v>
      </c>
      <c r="G494" t="s">
        <v>891</v>
      </c>
      <c r="H494" s="1">
        <v>47932.3</v>
      </c>
      <c r="I494" t="s">
        <v>1085</v>
      </c>
      <c r="J494" t="s">
        <v>148</v>
      </c>
      <c r="L494" t="s">
        <v>887</v>
      </c>
      <c r="M494" s="1">
        <v>0</v>
      </c>
      <c r="N494" s="1">
        <v>0</v>
      </c>
      <c r="O494" t="s">
        <v>610</v>
      </c>
      <c r="P494" t="s">
        <v>26</v>
      </c>
    </row>
    <row r="495" spans="1:16" x14ac:dyDescent="0.2">
      <c r="A495" t="s">
        <v>887</v>
      </c>
      <c r="B495" t="s">
        <v>891</v>
      </c>
      <c r="C495" t="s">
        <v>1000</v>
      </c>
      <c r="D495">
        <v>102120</v>
      </c>
      <c r="E495" t="s">
        <v>38</v>
      </c>
      <c r="F495" t="s">
        <v>890</v>
      </c>
      <c r="G495" t="s">
        <v>891</v>
      </c>
      <c r="H495" s="1">
        <v>63909.8</v>
      </c>
      <c r="I495" t="s">
        <v>1060</v>
      </c>
      <c r="J495" t="s">
        <v>148</v>
      </c>
      <c r="L495" t="s">
        <v>887</v>
      </c>
      <c r="M495" s="1">
        <v>0</v>
      </c>
      <c r="N495" s="1">
        <v>0</v>
      </c>
      <c r="O495" t="s">
        <v>610</v>
      </c>
      <c r="P495" t="s">
        <v>26</v>
      </c>
    </row>
    <row r="496" spans="1:16" x14ac:dyDescent="0.2">
      <c r="A496" t="s">
        <v>603</v>
      </c>
      <c r="B496" t="s">
        <v>1175</v>
      </c>
      <c r="C496" t="s">
        <v>417</v>
      </c>
      <c r="D496" t="s">
        <v>1176</v>
      </c>
      <c r="E496" t="s">
        <v>38</v>
      </c>
      <c r="F496" t="s">
        <v>1177</v>
      </c>
      <c r="G496" t="s">
        <v>1178</v>
      </c>
      <c r="H496" s="1">
        <v>17040</v>
      </c>
      <c r="I496" t="s">
        <v>1179</v>
      </c>
      <c r="J496" t="s">
        <v>148</v>
      </c>
      <c r="L496" t="s">
        <v>603</v>
      </c>
      <c r="M496" s="1">
        <v>0</v>
      </c>
      <c r="N496" s="1">
        <v>0</v>
      </c>
      <c r="O496" t="s">
        <v>1180</v>
      </c>
      <c r="P496" t="s">
        <v>26</v>
      </c>
    </row>
    <row r="497" spans="1:16" x14ac:dyDescent="0.2">
      <c r="A497" t="s">
        <v>603</v>
      </c>
      <c r="B497" t="s">
        <v>1181</v>
      </c>
      <c r="C497" t="s">
        <v>902</v>
      </c>
      <c r="D497" t="s">
        <v>1182</v>
      </c>
      <c r="E497" t="s">
        <v>192</v>
      </c>
      <c r="F497" t="s">
        <v>1183</v>
      </c>
      <c r="G497" t="s">
        <v>1181</v>
      </c>
      <c r="H497" s="1">
        <v>53220</v>
      </c>
      <c r="I497" t="s">
        <v>906</v>
      </c>
      <c r="J497" t="s">
        <v>148</v>
      </c>
      <c r="L497" t="s">
        <v>603</v>
      </c>
      <c r="M497" s="1">
        <v>0</v>
      </c>
      <c r="N497" s="1">
        <v>0</v>
      </c>
      <c r="O497" t="s">
        <v>1184</v>
      </c>
      <c r="P497" t="s">
        <v>26</v>
      </c>
    </row>
    <row r="498" spans="1:16" x14ac:dyDescent="0.2">
      <c r="A498" t="s">
        <v>603</v>
      </c>
      <c r="B498" t="s">
        <v>1181</v>
      </c>
      <c r="C498" t="s">
        <v>417</v>
      </c>
      <c r="D498" t="s">
        <v>1185</v>
      </c>
      <c r="E498" t="s">
        <v>38</v>
      </c>
      <c r="F498" t="s">
        <v>1183</v>
      </c>
      <c r="G498" t="s">
        <v>1181</v>
      </c>
      <c r="H498" s="1">
        <v>25506</v>
      </c>
      <c r="I498" t="s">
        <v>1114</v>
      </c>
      <c r="J498" t="s">
        <v>148</v>
      </c>
      <c r="L498" t="s">
        <v>603</v>
      </c>
      <c r="M498" s="1">
        <v>0</v>
      </c>
      <c r="N498" s="1">
        <v>0</v>
      </c>
      <c r="O498" t="s">
        <v>1184</v>
      </c>
      <c r="P498" t="s">
        <v>26</v>
      </c>
    </row>
    <row r="499" spans="1:16" x14ac:dyDescent="0.2">
      <c r="A499" t="s">
        <v>603</v>
      </c>
      <c r="B499" t="s">
        <v>1181</v>
      </c>
      <c r="C499" t="s">
        <v>1186</v>
      </c>
      <c r="D499" t="s">
        <v>1187</v>
      </c>
      <c r="E499" t="s">
        <v>38</v>
      </c>
      <c r="F499" t="s">
        <v>1183</v>
      </c>
      <c r="G499" t="s">
        <v>1181</v>
      </c>
      <c r="H499" s="1">
        <v>34008</v>
      </c>
      <c r="I499" t="s">
        <v>1188</v>
      </c>
      <c r="J499" t="s">
        <v>148</v>
      </c>
      <c r="L499" t="s">
        <v>603</v>
      </c>
      <c r="M499" s="1">
        <v>0</v>
      </c>
      <c r="N499" s="1">
        <v>0</v>
      </c>
      <c r="O499" t="s">
        <v>1184</v>
      </c>
      <c r="P499" t="s">
        <v>26</v>
      </c>
    </row>
    <row r="500" spans="1:16" x14ac:dyDescent="0.2">
      <c r="A500" t="s">
        <v>1701</v>
      </c>
      <c r="B500" t="s">
        <v>1189</v>
      </c>
      <c r="C500" t="s">
        <v>676</v>
      </c>
      <c r="D500" t="s">
        <v>1190</v>
      </c>
      <c r="E500" t="s">
        <v>38</v>
      </c>
      <c r="F500" t="s">
        <v>1183</v>
      </c>
      <c r="G500" t="s">
        <v>1181</v>
      </c>
      <c r="H500" s="1">
        <v>65280</v>
      </c>
      <c r="I500" t="s">
        <v>909</v>
      </c>
      <c r="J500" t="s">
        <v>148</v>
      </c>
      <c r="L500" t="s">
        <v>603</v>
      </c>
      <c r="M500" s="1">
        <v>0</v>
      </c>
      <c r="N500" s="1">
        <v>0</v>
      </c>
      <c r="O500" t="s">
        <v>1077</v>
      </c>
      <c r="P500" t="s">
        <v>26</v>
      </c>
    </row>
    <row r="501" spans="1:16" x14ac:dyDescent="0.2">
      <c r="A501" t="s">
        <v>114</v>
      </c>
      <c r="B501" t="s">
        <v>1191</v>
      </c>
      <c r="C501" t="s">
        <v>380</v>
      </c>
      <c r="D501" t="s">
        <v>1192</v>
      </c>
      <c r="E501" t="s">
        <v>192</v>
      </c>
      <c r="F501" t="s">
        <v>1193</v>
      </c>
      <c r="G501" t="s">
        <v>1194</v>
      </c>
      <c r="H501" s="1">
        <v>20000</v>
      </c>
      <c r="I501" t="s">
        <v>1195</v>
      </c>
      <c r="J501" t="s">
        <v>120</v>
      </c>
      <c r="L501" t="s">
        <v>114</v>
      </c>
      <c r="M501" s="1">
        <v>0</v>
      </c>
      <c r="N501" s="1">
        <v>0</v>
      </c>
      <c r="O501" t="s">
        <v>1196</v>
      </c>
      <c r="P501" t="s">
        <v>26</v>
      </c>
    </row>
    <row r="502" spans="1:16" x14ac:dyDescent="0.2">
      <c r="A502" t="s">
        <v>114</v>
      </c>
      <c r="B502" t="s">
        <v>1191</v>
      </c>
      <c r="C502" t="s">
        <v>853</v>
      </c>
      <c r="D502" t="s">
        <v>1197</v>
      </c>
      <c r="E502" t="s">
        <v>38</v>
      </c>
      <c r="F502" t="s">
        <v>1193</v>
      </c>
      <c r="G502" t="s">
        <v>1194</v>
      </c>
      <c r="H502" s="1">
        <v>16441.2</v>
      </c>
      <c r="I502" t="s">
        <v>742</v>
      </c>
      <c r="J502" t="s">
        <v>120</v>
      </c>
      <c r="L502" t="s">
        <v>114</v>
      </c>
      <c r="M502" s="1">
        <v>0</v>
      </c>
      <c r="N502" s="1">
        <v>0</v>
      </c>
      <c r="O502" t="s">
        <v>1196</v>
      </c>
      <c r="P502" t="s">
        <v>26</v>
      </c>
    </row>
    <row r="503" spans="1:16" x14ac:dyDescent="0.2">
      <c r="A503" t="s">
        <v>114</v>
      </c>
      <c r="B503" t="s">
        <v>1191</v>
      </c>
      <c r="C503" t="s">
        <v>760</v>
      </c>
      <c r="D503" t="s">
        <v>1198</v>
      </c>
      <c r="E503" t="s">
        <v>38</v>
      </c>
      <c r="F503" t="s">
        <v>1193</v>
      </c>
      <c r="G503" t="s">
        <v>1194</v>
      </c>
      <c r="H503" s="1">
        <v>15000</v>
      </c>
      <c r="I503" t="s">
        <v>1199</v>
      </c>
      <c r="J503" t="s">
        <v>120</v>
      </c>
      <c r="L503" t="s">
        <v>114</v>
      </c>
      <c r="M503" s="1">
        <v>0</v>
      </c>
      <c r="N503" s="1">
        <v>0</v>
      </c>
      <c r="O503" t="s">
        <v>1196</v>
      </c>
      <c r="P503" t="s">
        <v>26</v>
      </c>
    </row>
    <row r="504" spans="1:16" x14ac:dyDescent="0.2">
      <c r="A504" t="s">
        <v>114</v>
      </c>
      <c r="B504" t="s">
        <v>1191</v>
      </c>
      <c r="C504" t="s">
        <v>437</v>
      </c>
      <c r="D504" t="s">
        <v>1200</v>
      </c>
      <c r="E504" t="s">
        <v>71</v>
      </c>
      <c r="F504" t="s">
        <v>1193</v>
      </c>
      <c r="G504" t="s">
        <v>1194</v>
      </c>
      <c r="H504" s="1">
        <v>13950</v>
      </c>
      <c r="I504" t="s">
        <v>1201</v>
      </c>
      <c r="J504" t="s">
        <v>120</v>
      </c>
      <c r="L504" t="s">
        <v>114</v>
      </c>
      <c r="M504" s="1">
        <v>0</v>
      </c>
      <c r="N504" s="1">
        <v>0</v>
      </c>
      <c r="O504" t="s">
        <v>1196</v>
      </c>
      <c r="P504" t="s">
        <v>26</v>
      </c>
    </row>
    <row r="505" spans="1:16" x14ac:dyDescent="0.2">
      <c r="A505" t="s">
        <v>114</v>
      </c>
      <c r="B505" t="s">
        <v>1191</v>
      </c>
      <c r="C505" t="s">
        <v>442</v>
      </c>
      <c r="D505" t="s">
        <v>1202</v>
      </c>
      <c r="E505" t="s">
        <v>71</v>
      </c>
      <c r="F505" t="s">
        <v>1193</v>
      </c>
      <c r="G505" t="s">
        <v>1194</v>
      </c>
      <c r="H505" s="1">
        <v>13950</v>
      </c>
      <c r="I505" t="s">
        <v>1203</v>
      </c>
      <c r="J505" t="s">
        <v>120</v>
      </c>
      <c r="L505" t="s">
        <v>114</v>
      </c>
      <c r="M505" s="1">
        <v>0</v>
      </c>
      <c r="N505" s="1">
        <v>0</v>
      </c>
      <c r="O505" t="s">
        <v>1196</v>
      </c>
      <c r="P505" t="s">
        <v>26</v>
      </c>
    </row>
    <row r="506" spans="1:16" x14ac:dyDescent="0.2">
      <c r="A506" t="s">
        <v>114</v>
      </c>
      <c r="B506" t="s">
        <v>1191</v>
      </c>
      <c r="C506" t="s">
        <v>793</v>
      </c>
      <c r="D506" t="s">
        <v>1204</v>
      </c>
      <c r="E506" t="s">
        <v>71</v>
      </c>
      <c r="F506" t="s">
        <v>1193</v>
      </c>
      <c r="G506" t="s">
        <v>1194</v>
      </c>
      <c r="H506" s="1">
        <v>13950</v>
      </c>
      <c r="I506" t="s">
        <v>717</v>
      </c>
      <c r="J506" t="s">
        <v>120</v>
      </c>
      <c r="L506" t="s">
        <v>114</v>
      </c>
      <c r="M506" s="1">
        <v>0</v>
      </c>
      <c r="N506" s="1">
        <v>0</v>
      </c>
      <c r="O506" t="s">
        <v>1196</v>
      </c>
      <c r="P506" t="s">
        <v>26</v>
      </c>
    </row>
    <row r="507" spans="1:16" x14ac:dyDescent="0.2">
      <c r="A507" t="s">
        <v>114</v>
      </c>
      <c r="B507" t="s">
        <v>1191</v>
      </c>
      <c r="C507" t="s">
        <v>207</v>
      </c>
      <c r="D507" t="s">
        <v>1205</v>
      </c>
      <c r="E507" t="s">
        <v>71</v>
      </c>
      <c r="F507" t="s">
        <v>1193</v>
      </c>
      <c r="G507" t="s">
        <v>1194</v>
      </c>
      <c r="H507" s="1">
        <v>13950</v>
      </c>
      <c r="I507" t="s">
        <v>1206</v>
      </c>
      <c r="J507" t="s">
        <v>120</v>
      </c>
      <c r="L507" t="s">
        <v>114</v>
      </c>
      <c r="M507" s="1">
        <v>0</v>
      </c>
      <c r="N507" s="1">
        <v>0</v>
      </c>
      <c r="O507" t="s">
        <v>1196</v>
      </c>
      <c r="P507" t="s">
        <v>26</v>
      </c>
    </row>
    <row r="508" spans="1:16" x14ac:dyDescent="0.2">
      <c r="A508" t="s">
        <v>114</v>
      </c>
      <c r="B508" t="s">
        <v>1191</v>
      </c>
      <c r="C508" t="s">
        <v>796</v>
      </c>
      <c r="D508" t="s">
        <v>1207</v>
      </c>
      <c r="E508" t="s">
        <v>71</v>
      </c>
      <c r="F508" t="s">
        <v>1193</v>
      </c>
      <c r="G508" t="s">
        <v>1194</v>
      </c>
      <c r="H508" s="1">
        <v>13950</v>
      </c>
      <c r="I508" t="s">
        <v>1203</v>
      </c>
      <c r="J508" t="s">
        <v>120</v>
      </c>
      <c r="L508" t="s">
        <v>114</v>
      </c>
      <c r="M508" s="1">
        <v>0</v>
      </c>
      <c r="N508" s="1">
        <v>0</v>
      </c>
      <c r="O508" t="s">
        <v>1196</v>
      </c>
      <c r="P508" t="s">
        <v>26</v>
      </c>
    </row>
    <row r="509" spans="1:16" x14ac:dyDescent="0.2">
      <c r="A509" t="s">
        <v>114</v>
      </c>
      <c r="B509" t="s">
        <v>1191</v>
      </c>
      <c r="C509" t="s">
        <v>575</v>
      </c>
      <c r="D509" t="s">
        <v>1208</v>
      </c>
      <c r="E509" t="s">
        <v>96</v>
      </c>
      <c r="F509" t="s">
        <v>1193</v>
      </c>
      <c r="G509" t="s">
        <v>1194</v>
      </c>
      <c r="H509" s="1">
        <v>27900</v>
      </c>
      <c r="I509" t="s">
        <v>742</v>
      </c>
      <c r="J509" t="s">
        <v>120</v>
      </c>
      <c r="L509" t="s">
        <v>114</v>
      </c>
      <c r="M509" s="1">
        <v>0</v>
      </c>
      <c r="N509" s="1">
        <v>0</v>
      </c>
      <c r="O509" t="s">
        <v>1196</v>
      </c>
      <c r="P509" t="s">
        <v>26</v>
      </c>
    </row>
    <row r="510" spans="1:16" x14ac:dyDescent="0.2">
      <c r="A510" t="s">
        <v>114</v>
      </c>
      <c r="B510" t="s">
        <v>1191</v>
      </c>
      <c r="C510" t="s">
        <v>280</v>
      </c>
      <c r="D510" t="s">
        <v>1209</v>
      </c>
      <c r="E510" t="s">
        <v>96</v>
      </c>
      <c r="F510" t="s">
        <v>1193</v>
      </c>
      <c r="G510" t="s">
        <v>1194</v>
      </c>
      <c r="H510" s="1">
        <v>32550</v>
      </c>
      <c r="I510" t="s">
        <v>1210</v>
      </c>
      <c r="J510" t="s">
        <v>120</v>
      </c>
      <c r="L510" t="s">
        <v>114</v>
      </c>
      <c r="M510" s="1">
        <v>0</v>
      </c>
      <c r="N510" s="1">
        <v>0</v>
      </c>
      <c r="O510" t="s">
        <v>1196</v>
      </c>
      <c r="P510" t="s">
        <v>26</v>
      </c>
    </row>
    <row r="511" spans="1:16" x14ac:dyDescent="0.2">
      <c r="A511" t="s">
        <v>114</v>
      </c>
      <c r="B511" t="s">
        <v>1191</v>
      </c>
      <c r="C511" t="s">
        <v>1211</v>
      </c>
      <c r="D511" t="s">
        <v>1212</v>
      </c>
      <c r="E511" t="s">
        <v>96</v>
      </c>
      <c r="F511" t="s">
        <v>1193</v>
      </c>
      <c r="G511" t="s">
        <v>1194</v>
      </c>
      <c r="H511" s="1">
        <v>13950</v>
      </c>
      <c r="I511" t="s">
        <v>1213</v>
      </c>
      <c r="J511" t="s">
        <v>120</v>
      </c>
      <c r="L511" t="s">
        <v>114</v>
      </c>
      <c r="M511" s="1">
        <v>0</v>
      </c>
      <c r="N511" s="1">
        <v>0</v>
      </c>
      <c r="O511" t="s">
        <v>1196</v>
      </c>
      <c r="P511" t="s">
        <v>26</v>
      </c>
    </row>
    <row r="512" spans="1:16" x14ac:dyDescent="0.2">
      <c r="A512" t="s">
        <v>114</v>
      </c>
      <c r="B512" t="s">
        <v>1191</v>
      </c>
      <c r="C512" t="s">
        <v>1214</v>
      </c>
      <c r="D512" t="s">
        <v>1215</v>
      </c>
      <c r="E512" t="s">
        <v>96</v>
      </c>
      <c r="F512" t="s">
        <v>1193</v>
      </c>
      <c r="G512" t="s">
        <v>1194</v>
      </c>
      <c r="H512" s="1">
        <v>28458</v>
      </c>
      <c r="I512" t="s">
        <v>1216</v>
      </c>
      <c r="J512" t="s">
        <v>120</v>
      </c>
      <c r="L512" t="s">
        <v>114</v>
      </c>
      <c r="M512" s="1">
        <v>0</v>
      </c>
      <c r="N512" s="1">
        <v>0</v>
      </c>
      <c r="O512" t="s">
        <v>1196</v>
      </c>
      <c r="P512" t="s">
        <v>26</v>
      </c>
    </row>
    <row r="513" spans="1:16" x14ac:dyDescent="0.2">
      <c r="A513" t="s">
        <v>114</v>
      </c>
      <c r="B513" t="s">
        <v>1191</v>
      </c>
      <c r="C513" t="s">
        <v>594</v>
      </c>
      <c r="D513" t="s">
        <v>1217</v>
      </c>
      <c r="E513" t="s">
        <v>96</v>
      </c>
      <c r="F513" t="s">
        <v>1193</v>
      </c>
      <c r="G513" t="s">
        <v>1194</v>
      </c>
      <c r="H513" s="1">
        <v>13950</v>
      </c>
      <c r="I513" t="s">
        <v>1218</v>
      </c>
      <c r="J513" t="s">
        <v>120</v>
      </c>
      <c r="L513" t="s">
        <v>114</v>
      </c>
      <c r="M513" s="1">
        <v>0</v>
      </c>
      <c r="N513" s="1">
        <v>0</v>
      </c>
      <c r="O513" t="s">
        <v>1196</v>
      </c>
      <c r="P513" t="s">
        <v>26</v>
      </c>
    </row>
    <row r="514" spans="1:16" x14ac:dyDescent="0.2">
      <c r="A514" t="s">
        <v>114</v>
      </c>
      <c r="B514" t="s">
        <v>1219</v>
      </c>
      <c r="C514" t="s">
        <v>760</v>
      </c>
      <c r="D514" t="s">
        <v>1220</v>
      </c>
      <c r="E514" t="s">
        <v>38</v>
      </c>
      <c r="F514" t="s">
        <v>1221</v>
      </c>
      <c r="G514" t="s">
        <v>1222</v>
      </c>
      <c r="H514" s="1">
        <v>60000</v>
      </c>
      <c r="I514" t="s">
        <v>1199</v>
      </c>
      <c r="J514" t="s">
        <v>120</v>
      </c>
      <c r="L514" t="s">
        <v>114</v>
      </c>
      <c r="M514" s="1">
        <v>0</v>
      </c>
      <c r="N514" s="1">
        <v>0</v>
      </c>
      <c r="O514" t="s">
        <v>1196</v>
      </c>
      <c r="P514" t="s">
        <v>26</v>
      </c>
    </row>
    <row r="515" spans="1:16" x14ac:dyDescent="0.2">
      <c r="A515" t="s">
        <v>114</v>
      </c>
      <c r="B515" t="s">
        <v>1219</v>
      </c>
      <c r="C515" t="s">
        <v>437</v>
      </c>
      <c r="D515" t="s">
        <v>1223</v>
      </c>
      <c r="E515" t="s">
        <v>71</v>
      </c>
      <c r="F515" t="s">
        <v>1221</v>
      </c>
      <c r="G515" t="s">
        <v>1222</v>
      </c>
      <c r="H515" s="1">
        <v>35598</v>
      </c>
      <c r="I515" t="s">
        <v>1201</v>
      </c>
      <c r="J515" t="s">
        <v>120</v>
      </c>
      <c r="L515" t="s">
        <v>114</v>
      </c>
      <c r="M515" s="1">
        <v>0</v>
      </c>
      <c r="N515" s="1">
        <v>0</v>
      </c>
      <c r="O515" t="s">
        <v>1196</v>
      </c>
      <c r="P515" t="s">
        <v>26</v>
      </c>
    </row>
    <row r="516" spans="1:16" x14ac:dyDescent="0.2">
      <c r="A516" t="s">
        <v>114</v>
      </c>
      <c r="B516" t="s">
        <v>1219</v>
      </c>
      <c r="C516" t="s">
        <v>442</v>
      </c>
      <c r="D516" t="s">
        <v>1224</v>
      </c>
      <c r="E516" t="s">
        <v>71</v>
      </c>
      <c r="F516" t="s">
        <v>1221</v>
      </c>
      <c r="G516" t="s">
        <v>1222</v>
      </c>
      <c r="H516" s="1">
        <v>35598</v>
      </c>
      <c r="I516" t="s">
        <v>717</v>
      </c>
      <c r="J516" t="s">
        <v>120</v>
      </c>
      <c r="L516" t="s">
        <v>114</v>
      </c>
      <c r="M516" s="1">
        <v>0</v>
      </c>
      <c r="N516" s="1">
        <v>0</v>
      </c>
      <c r="O516" t="s">
        <v>1196</v>
      </c>
      <c r="P516" t="s">
        <v>26</v>
      </c>
    </row>
    <row r="517" spans="1:16" x14ac:dyDescent="0.2">
      <c r="A517" t="s">
        <v>114</v>
      </c>
      <c r="B517" t="s">
        <v>1219</v>
      </c>
      <c r="C517" t="s">
        <v>793</v>
      </c>
      <c r="D517" t="s">
        <v>1225</v>
      </c>
      <c r="E517" t="s">
        <v>71</v>
      </c>
      <c r="F517" t="s">
        <v>1221</v>
      </c>
      <c r="G517" t="s">
        <v>1222</v>
      </c>
      <c r="H517" s="1">
        <v>35598</v>
      </c>
      <c r="I517" t="s">
        <v>1203</v>
      </c>
      <c r="J517" t="s">
        <v>120</v>
      </c>
      <c r="L517" t="s">
        <v>114</v>
      </c>
      <c r="M517" s="1">
        <v>0</v>
      </c>
      <c r="N517" s="1">
        <v>0</v>
      </c>
      <c r="O517" t="s">
        <v>1196</v>
      </c>
      <c r="P517" t="s">
        <v>26</v>
      </c>
    </row>
    <row r="518" spans="1:16" x14ac:dyDescent="0.2">
      <c r="A518" t="s">
        <v>114</v>
      </c>
      <c r="B518" t="s">
        <v>1219</v>
      </c>
      <c r="C518" t="s">
        <v>796</v>
      </c>
      <c r="D518" t="s">
        <v>1226</v>
      </c>
      <c r="E518" t="s">
        <v>71</v>
      </c>
      <c r="F518" t="s">
        <v>1221</v>
      </c>
      <c r="G518" t="s">
        <v>1222</v>
      </c>
      <c r="H518" s="1">
        <v>35598</v>
      </c>
      <c r="I518" t="s">
        <v>1203</v>
      </c>
      <c r="J518" t="s">
        <v>120</v>
      </c>
      <c r="L518" t="s">
        <v>114</v>
      </c>
      <c r="M518" s="1">
        <v>0</v>
      </c>
      <c r="N518" s="1">
        <v>0</v>
      </c>
      <c r="O518" t="s">
        <v>1196</v>
      </c>
      <c r="P518" t="s">
        <v>26</v>
      </c>
    </row>
    <row r="519" spans="1:16" x14ac:dyDescent="0.2">
      <c r="A519" t="s">
        <v>114</v>
      </c>
      <c r="B519" t="s">
        <v>1219</v>
      </c>
      <c r="C519" t="s">
        <v>798</v>
      </c>
      <c r="D519" t="s">
        <v>1227</v>
      </c>
      <c r="E519" t="s">
        <v>44</v>
      </c>
      <c r="F519" t="s">
        <v>1221</v>
      </c>
      <c r="G519" t="s">
        <v>1222</v>
      </c>
      <c r="H519" s="1">
        <v>88520.4</v>
      </c>
      <c r="I519" t="s">
        <v>1210</v>
      </c>
      <c r="J519" t="s">
        <v>120</v>
      </c>
      <c r="L519" t="s">
        <v>114</v>
      </c>
      <c r="M519" s="1">
        <v>0</v>
      </c>
      <c r="N519" s="1">
        <v>0</v>
      </c>
      <c r="O519" t="s">
        <v>1196</v>
      </c>
      <c r="P519" t="s">
        <v>26</v>
      </c>
    </row>
    <row r="520" spans="1:16" x14ac:dyDescent="0.2">
      <c r="A520" t="s">
        <v>114</v>
      </c>
      <c r="B520" t="s">
        <v>1219</v>
      </c>
      <c r="C520" t="s">
        <v>44</v>
      </c>
      <c r="D520" t="s">
        <v>1228</v>
      </c>
      <c r="E520" t="s">
        <v>44</v>
      </c>
      <c r="F520" t="s">
        <v>1221</v>
      </c>
      <c r="G520" t="s">
        <v>1222</v>
      </c>
      <c r="H520" s="1">
        <v>71196</v>
      </c>
      <c r="I520" t="s">
        <v>1229</v>
      </c>
      <c r="J520" t="s">
        <v>120</v>
      </c>
      <c r="L520" t="s">
        <v>114</v>
      </c>
      <c r="M520" s="1">
        <v>0</v>
      </c>
      <c r="N520" s="1">
        <v>0</v>
      </c>
      <c r="O520" t="s">
        <v>1196</v>
      </c>
      <c r="P520" t="s">
        <v>26</v>
      </c>
    </row>
    <row r="521" spans="1:16" x14ac:dyDescent="0.2">
      <c r="A521" t="s">
        <v>114</v>
      </c>
      <c r="B521" t="s">
        <v>1219</v>
      </c>
      <c r="C521" t="s">
        <v>52</v>
      </c>
      <c r="D521" t="s">
        <v>1230</v>
      </c>
      <c r="E521" t="s">
        <v>44</v>
      </c>
      <c r="F521" t="s">
        <v>1221</v>
      </c>
      <c r="G521" t="s">
        <v>1222</v>
      </c>
      <c r="H521" s="1">
        <v>213588</v>
      </c>
      <c r="I521" t="s">
        <v>1231</v>
      </c>
      <c r="J521" t="s">
        <v>120</v>
      </c>
      <c r="L521" t="s">
        <v>114</v>
      </c>
      <c r="M521" s="1">
        <v>0</v>
      </c>
      <c r="N521" s="1">
        <v>0</v>
      </c>
      <c r="O521" t="s">
        <v>1196</v>
      </c>
      <c r="P521" t="s">
        <v>26</v>
      </c>
    </row>
    <row r="522" spans="1:16" x14ac:dyDescent="0.2">
      <c r="A522" t="s">
        <v>114</v>
      </c>
      <c r="B522" t="s">
        <v>1219</v>
      </c>
      <c r="C522" t="s">
        <v>575</v>
      </c>
      <c r="D522" t="s">
        <v>1232</v>
      </c>
      <c r="E522" t="s">
        <v>96</v>
      </c>
      <c r="F522" t="s">
        <v>1221</v>
      </c>
      <c r="G522" t="s">
        <v>1222</v>
      </c>
      <c r="H522" s="1">
        <v>66449.600000000006</v>
      </c>
      <c r="I522" t="s">
        <v>1233</v>
      </c>
      <c r="J522" t="s">
        <v>120</v>
      </c>
      <c r="L522" t="s">
        <v>114</v>
      </c>
      <c r="M522" s="1">
        <v>0</v>
      </c>
      <c r="N522" s="1">
        <v>0</v>
      </c>
      <c r="O522" t="s">
        <v>1196</v>
      </c>
      <c r="P522" t="s">
        <v>26</v>
      </c>
    </row>
    <row r="523" spans="1:16" x14ac:dyDescent="0.2">
      <c r="A523" t="s">
        <v>114</v>
      </c>
      <c r="B523" t="s">
        <v>1219</v>
      </c>
      <c r="C523" t="s">
        <v>180</v>
      </c>
      <c r="D523" t="s">
        <v>1234</v>
      </c>
      <c r="E523" t="s">
        <v>96</v>
      </c>
      <c r="F523" t="s">
        <v>1221</v>
      </c>
      <c r="G523" t="s">
        <v>1222</v>
      </c>
      <c r="H523" s="1">
        <v>35598</v>
      </c>
      <c r="I523" t="s">
        <v>1235</v>
      </c>
      <c r="J523" t="s">
        <v>120</v>
      </c>
      <c r="L523" t="s">
        <v>114</v>
      </c>
      <c r="M523" s="1">
        <v>0</v>
      </c>
      <c r="N523" s="1">
        <v>0</v>
      </c>
      <c r="O523" t="s">
        <v>1196</v>
      </c>
      <c r="P523" t="s">
        <v>26</v>
      </c>
    </row>
    <row r="524" spans="1:16" x14ac:dyDescent="0.2">
      <c r="A524" t="s">
        <v>114</v>
      </c>
      <c r="B524" t="s">
        <v>1219</v>
      </c>
      <c r="C524" t="s">
        <v>280</v>
      </c>
      <c r="D524" t="s">
        <v>1236</v>
      </c>
      <c r="E524" t="s">
        <v>96</v>
      </c>
      <c r="F524" t="s">
        <v>1221</v>
      </c>
      <c r="G524" t="s">
        <v>1222</v>
      </c>
      <c r="H524" s="1">
        <v>83062</v>
      </c>
      <c r="I524" t="s">
        <v>1210</v>
      </c>
      <c r="J524" t="s">
        <v>120</v>
      </c>
      <c r="L524" t="s">
        <v>114</v>
      </c>
      <c r="M524" s="1">
        <v>0</v>
      </c>
      <c r="N524" s="1">
        <v>0</v>
      </c>
      <c r="O524" t="s">
        <v>1196</v>
      </c>
      <c r="P524" t="s">
        <v>26</v>
      </c>
    </row>
    <row r="525" spans="1:16" x14ac:dyDescent="0.2">
      <c r="A525" t="s">
        <v>114</v>
      </c>
      <c r="B525" t="s">
        <v>1219</v>
      </c>
      <c r="C525" t="s">
        <v>820</v>
      </c>
      <c r="D525" t="s">
        <v>1237</v>
      </c>
      <c r="E525" t="s">
        <v>96</v>
      </c>
      <c r="F525" t="s">
        <v>1221</v>
      </c>
      <c r="G525" t="s">
        <v>1222</v>
      </c>
      <c r="H525" s="1">
        <v>42717.599999999999</v>
      </c>
      <c r="I525" t="s">
        <v>1233</v>
      </c>
      <c r="J525" t="s">
        <v>120</v>
      </c>
      <c r="L525" t="s">
        <v>114</v>
      </c>
      <c r="M525" s="1">
        <v>0</v>
      </c>
      <c r="N525" s="1">
        <v>0</v>
      </c>
      <c r="O525" t="s">
        <v>1196</v>
      </c>
      <c r="P525" t="s">
        <v>26</v>
      </c>
    </row>
    <row r="526" spans="1:16" x14ac:dyDescent="0.2">
      <c r="A526" t="s">
        <v>114</v>
      </c>
      <c r="B526" t="s">
        <v>1219</v>
      </c>
      <c r="C526" t="s">
        <v>1211</v>
      </c>
      <c r="D526" t="s">
        <v>1238</v>
      </c>
      <c r="E526" t="s">
        <v>96</v>
      </c>
      <c r="F526" t="s">
        <v>1221</v>
      </c>
      <c r="G526" t="s">
        <v>1222</v>
      </c>
      <c r="H526" s="1">
        <v>35598</v>
      </c>
      <c r="I526" t="s">
        <v>1213</v>
      </c>
      <c r="J526" t="s">
        <v>120</v>
      </c>
      <c r="L526" t="s">
        <v>114</v>
      </c>
      <c r="M526" s="1">
        <v>0</v>
      </c>
      <c r="N526" s="1">
        <v>0</v>
      </c>
      <c r="O526" t="s">
        <v>1196</v>
      </c>
      <c r="P526" t="s">
        <v>26</v>
      </c>
    </row>
    <row r="527" spans="1:16" x14ac:dyDescent="0.2">
      <c r="A527" t="s">
        <v>114</v>
      </c>
      <c r="B527" t="s">
        <v>1219</v>
      </c>
      <c r="C527" t="s">
        <v>149</v>
      </c>
      <c r="D527" t="s">
        <v>1239</v>
      </c>
      <c r="E527" t="s">
        <v>96</v>
      </c>
      <c r="F527" t="s">
        <v>1221</v>
      </c>
      <c r="G527" t="s">
        <v>1222</v>
      </c>
      <c r="H527" s="1">
        <v>43904.2</v>
      </c>
      <c r="I527" t="s">
        <v>1240</v>
      </c>
      <c r="J527" t="s">
        <v>120</v>
      </c>
      <c r="L527" t="s">
        <v>114</v>
      </c>
      <c r="M527" s="1">
        <v>0</v>
      </c>
      <c r="N527" s="1">
        <v>0</v>
      </c>
      <c r="O527" t="s">
        <v>1196</v>
      </c>
      <c r="P527" t="s">
        <v>26</v>
      </c>
    </row>
    <row r="528" spans="1:16" x14ac:dyDescent="0.2">
      <c r="A528" t="s">
        <v>114</v>
      </c>
      <c r="B528" t="s">
        <v>1219</v>
      </c>
      <c r="C528" t="s">
        <v>723</v>
      </c>
      <c r="D528" t="s">
        <v>1241</v>
      </c>
      <c r="E528" t="s">
        <v>96</v>
      </c>
      <c r="F528" t="s">
        <v>1221</v>
      </c>
      <c r="G528" t="s">
        <v>1222</v>
      </c>
      <c r="H528" s="1">
        <v>49837.2</v>
      </c>
      <c r="I528" t="s">
        <v>1210</v>
      </c>
      <c r="J528" t="s">
        <v>120</v>
      </c>
      <c r="L528" t="s">
        <v>114</v>
      </c>
      <c r="M528" s="1">
        <v>0</v>
      </c>
      <c r="N528" s="1">
        <v>0</v>
      </c>
      <c r="O528" t="s">
        <v>1196</v>
      </c>
      <c r="P528" t="s">
        <v>26</v>
      </c>
    </row>
    <row r="529" spans="1:16" x14ac:dyDescent="0.2">
      <c r="A529" t="s">
        <v>114</v>
      </c>
      <c r="B529" t="s">
        <v>1219</v>
      </c>
      <c r="C529" t="s">
        <v>594</v>
      </c>
      <c r="D529" t="s">
        <v>1242</v>
      </c>
      <c r="E529" t="s">
        <v>96</v>
      </c>
      <c r="F529" t="s">
        <v>1221</v>
      </c>
      <c r="G529" t="s">
        <v>1222</v>
      </c>
      <c r="H529" s="1">
        <v>106794</v>
      </c>
      <c r="I529" t="s">
        <v>1218</v>
      </c>
      <c r="J529" t="s">
        <v>120</v>
      </c>
      <c r="L529" t="s">
        <v>114</v>
      </c>
      <c r="M529" s="1">
        <v>0</v>
      </c>
      <c r="N529" s="1">
        <v>0</v>
      </c>
      <c r="O529" t="s">
        <v>1196</v>
      </c>
      <c r="P529" t="s">
        <v>26</v>
      </c>
    </row>
    <row r="530" spans="1:16" x14ac:dyDescent="0.2">
      <c r="A530" t="s">
        <v>114</v>
      </c>
      <c r="B530" t="s">
        <v>1243</v>
      </c>
      <c r="C530" t="s">
        <v>437</v>
      </c>
      <c r="D530" t="s">
        <v>1244</v>
      </c>
      <c r="E530" t="s">
        <v>71</v>
      </c>
      <c r="F530" t="s">
        <v>1245</v>
      </c>
      <c r="G530" t="s">
        <v>1246</v>
      </c>
      <c r="H530" s="1">
        <v>28260</v>
      </c>
      <c r="I530" t="s">
        <v>1201</v>
      </c>
      <c r="J530" t="s">
        <v>120</v>
      </c>
      <c r="L530" t="s">
        <v>114</v>
      </c>
      <c r="M530" s="1">
        <v>0</v>
      </c>
      <c r="N530" s="1">
        <v>0</v>
      </c>
      <c r="O530" t="s">
        <v>1196</v>
      </c>
      <c r="P530" t="s">
        <v>26</v>
      </c>
    </row>
    <row r="531" spans="1:16" x14ac:dyDescent="0.2">
      <c r="A531" t="s">
        <v>114</v>
      </c>
      <c r="B531" t="s">
        <v>1243</v>
      </c>
      <c r="C531" t="s">
        <v>442</v>
      </c>
      <c r="D531" t="s">
        <v>1247</v>
      </c>
      <c r="E531" t="s">
        <v>71</v>
      </c>
      <c r="F531" t="s">
        <v>1245</v>
      </c>
      <c r="G531" t="s">
        <v>1246</v>
      </c>
      <c r="H531" s="1">
        <v>28260</v>
      </c>
      <c r="I531" t="s">
        <v>1203</v>
      </c>
      <c r="J531" t="s">
        <v>120</v>
      </c>
      <c r="L531" t="s">
        <v>114</v>
      </c>
      <c r="M531" s="1">
        <v>0</v>
      </c>
      <c r="N531" s="1">
        <v>0</v>
      </c>
      <c r="O531" t="s">
        <v>1196</v>
      </c>
      <c r="P531" t="s">
        <v>26</v>
      </c>
    </row>
    <row r="532" spans="1:16" x14ac:dyDescent="0.2">
      <c r="A532" t="s">
        <v>114</v>
      </c>
      <c r="B532" t="s">
        <v>1243</v>
      </c>
      <c r="C532" t="s">
        <v>1214</v>
      </c>
      <c r="D532" t="s">
        <v>1248</v>
      </c>
      <c r="E532" t="s">
        <v>96</v>
      </c>
      <c r="F532" t="s">
        <v>1245</v>
      </c>
      <c r="G532" t="s">
        <v>1246</v>
      </c>
      <c r="H532" s="1">
        <v>30144</v>
      </c>
      <c r="I532" t="s">
        <v>1216</v>
      </c>
      <c r="J532" t="s">
        <v>120</v>
      </c>
      <c r="L532" t="s">
        <v>114</v>
      </c>
      <c r="M532" s="1">
        <v>0</v>
      </c>
      <c r="N532" s="1">
        <v>0</v>
      </c>
      <c r="O532" t="s">
        <v>1196</v>
      </c>
      <c r="P532" t="s">
        <v>26</v>
      </c>
    </row>
    <row r="533" spans="1:16" x14ac:dyDescent="0.2">
      <c r="A533" t="s">
        <v>114</v>
      </c>
      <c r="B533" t="s">
        <v>1249</v>
      </c>
      <c r="C533" t="s">
        <v>760</v>
      </c>
      <c r="D533" t="s">
        <v>1250</v>
      </c>
      <c r="E533" t="s">
        <v>38</v>
      </c>
      <c r="F533" t="s">
        <v>1251</v>
      </c>
      <c r="G533" t="s">
        <v>1252</v>
      </c>
      <c r="H533" s="1">
        <v>40000</v>
      </c>
      <c r="I533" t="s">
        <v>1253</v>
      </c>
      <c r="J533" t="s">
        <v>120</v>
      </c>
      <c r="L533" t="s">
        <v>114</v>
      </c>
      <c r="M533" s="1">
        <v>0</v>
      </c>
      <c r="N533" s="1">
        <v>0</v>
      </c>
      <c r="O533" t="s">
        <v>1196</v>
      </c>
      <c r="P533" t="s">
        <v>26</v>
      </c>
    </row>
    <row r="534" spans="1:16" x14ac:dyDescent="0.2">
      <c r="A534" t="s">
        <v>114</v>
      </c>
      <c r="B534" t="s">
        <v>1249</v>
      </c>
      <c r="C534" t="s">
        <v>793</v>
      </c>
      <c r="D534" t="s">
        <v>1254</v>
      </c>
      <c r="E534" t="s">
        <v>71</v>
      </c>
      <c r="F534" t="s">
        <v>1251</v>
      </c>
      <c r="G534" t="s">
        <v>1252</v>
      </c>
      <c r="H534" s="1">
        <v>23825</v>
      </c>
      <c r="I534" t="s">
        <v>1255</v>
      </c>
      <c r="J534" t="s">
        <v>120</v>
      </c>
      <c r="L534" t="s">
        <v>114</v>
      </c>
      <c r="M534" s="1">
        <v>0</v>
      </c>
      <c r="N534" s="1">
        <v>0</v>
      </c>
      <c r="O534" t="s">
        <v>1196</v>
      </c>
      <c r="P534" t="s">
        <v>26</v>
      </c>
    </row>
    <row r="535" spans="1:16" x14ac:dyDescent="0.2">
      <c r="A535" t="s">
        <v>114</v>
      </c>
      <c r="B535" t="s">
        <v>1249</v>
      </c>
      <c r="C535" t="s">
        <v>798</v>
      </c>
      <c r="D535" t="s">
        <v>1256</v>
      </c>
      <c r="E535" t="s">
        <v>44</v>
      </c>
      <c r="F535" t="s">
        <v>1251</v>
      </c>
      <c r="G535" t="s">
        <v>1252</v>
      </c>
      <c r="H535" s="1">
        <v>88152.5</v>
      </c>
      <c r="I535" t="s">
        <v>1257</v>
      </c>
      <c r="J535" t="s">
        <v>120</v>
      </c>
      <c r="L535" t="s">
        <v>114</v>
      </c>
      <c r="M535" s="1">
        <v>0</v>
      </c>
      <c r="N535" s="1">
        <v>0</v>
      </c>
      <c r="O535" t="s">
        <v>1196</v>
      </c>
      <c r="P535" t="s">
        <v>26</v>
      </c>
    </row>
    <row r="536" spans="1:16" x14ac:dyDescent="0.2">
      <c r="A536" t="s">
        <v>114</v>
      </c>
      <c r="B536" t="s">
        <v>1249</v>
      </c>
      <c r="C536" t="s">
        <v>44</v>
      </c>
      <c r="D536" t="s">
        <v>1258</v>
      </c>
      <c r="E536" t="s">
        <v>44</v>
      </c>
      <c r="F536" t="s">
        <v>1251</v>
      </c>
      <c r="G536" t="s">
        <v>1252</v>
      </c>
      <c r="H536" s="1">
        <v>95408</v>
      </c>
      <c r="I536" t="s">
        <v>1259</v>
      </c>
      <c r="J536" t="s">
        <v>120</v>
      </c>
      <c r="L536" t="s">
        <v>114</v>
      </c>
      <c r="M536" s="1">
        <v>0</v>
      </c>
      <c r="N536" s="1">
        <v>0</v>
      </c>
      <c r="O536" t="s">
        <v>1196</v>
      </c>
      <c r="P536" t="s">
        <v>26</v>
      </c>
    </row>
    <row r="537" spans="1:16" x14ac:dyDescent="0.2">
      <c r="A537" t="s">
        <v>114</v>
      </c>
      <c r="B537" t="s">
        <v>1249</v>
      </c>
      <c r="C537" t="s">
        <v>575</v>
      </c>
      <c r="D537" t="s">
        <v>1260</v>
      </c>
      <c r="E537" t="s">
        <v>96</v>
      </c>
      <c r="F537" t="s">
        <v>1251</v>
      </c>
      <c r="G537" t="s">
        <v>1252</v>
      </c>
      <c r="H537" s="1">
        <v>35737.5</v>
      </c>
      <c r="I537" t="s">
        <v>1261</v>
      </c>
      <c r="J537" t="s">
        <v>120</v>
      </c>
      <c r="L537" t="s">
        <v>114</v>
      </c>
      <c r="M537" s="1">
        <v>0</v>
      </c>
      <c r="N537" s="1">
        <v>0</v>
      </c>
      <c r="O537" t="s">
        <v>1196</v>
      </c>
      <c r="P537" t="s">
        <v>26</v>
      </c>
    </row>
    <row r="538" spans="1:16" x14ac:dyDescent="0.2">
      <c r="A538" t="s">
        <v>114</v>
      </c>
      <c r="B538" t="s">
        <v>1249</v>
      </c>
      <c r="C538" t="s">
        <v>280</v>
      </c>
      <c r="D538" t="s">
        <v>1262</v>
      </c>
      <c r="E538" t="s">
        <v>96</v>
      </c>
      <c r="F538" t="s">
        <v>1251</v>
      </c>
      <c r="G538" t="s">
        <v>1252</v>
      </c>
      <c r="H538" s="1">
        <v>35737.5</v>
      </c>
      <c r="I538" t="s">
        <v>711</v>
      </c>
      <c r="J538" t="s">
        <v>120</v>
      </c>
      <c r="L538" t="s">
        <v>114</v>
      </c>
      <c r="M538" s="1">
        <v>0</v>
      </c>
      <c r="N538" s="1">
        <v>0</v>
      </c>
      <c r="O538" t="s">
        <v>1196</v>
      </c>
      <c r="P538" t="s">
        <v>26</v>
      </c>
    </row>
    <row r="539" spans="1:16" x14ac:dyDescent="0.2">
      <c r="A539" t="s">
        <v>114</v>
      </c>
      <c r="B539" t="s">
        <v>1249</v>
      </c>
      <c r="C539" t="s">
        <v>820</v>
      </c>
      <c r="D539" t="s">
        <v>1263</v>
      </c>
      <c r="E539" t="s">
        <v>96</v>
      </c>
      <c r="F539" t="s">
        <v>1251</v>
      </c>
      <c r="G539" t="s">
        <v>1252</v>
      </c>
      <c r="H539" s="1">
        <v>35737.5</v>
      </c>
      <c r="I539" t="s">
        <v>1261</v>
      </c>
      <c r="J539" t="s">
        <v>120</v>
      </c>
      <c r="L539" t="s">
        <v>114</v>
      </c>
      <c r="M539" s="1">
        <v>0</v>
      </c>
      <c r="N539" s="1">
        <v>0</v>
      </c>
      <c r="O539" t="s">
        <v>1196</v>
      </c>
      <c r="P539" t="s">
        <v>26</v>
      </c>
    </row>
    <row r="540" spans="1:16" x14ac:dyDescent="0.2">
      <c r="A540" t="s">
        <v>114</v>
      </c>
      <c r="B540" t="s">
        <v>1249</v>
      </c>
      <c r="C540" t="s">
        <v>594</v>
      </c>
      <c r="D540" t="s">
        <v>1264</v>
      </c>
      <c r="E540" t="s">
        <v>96</v>
      </c>
      <c r="F540" t="s">
        <v>1251</v>
      </c>
      <c r="G540" t="s">
        <v>1252</v>
      </c>
      <c r="H540" s="1">
        <v>47650</v>
      </c>
      <c r="I540" t="s">
        <v>927</v>
      </c>
      <c r="J540" t="s">
        <v>120</v>
      </c>
      <c r="L540" t="s">
        <v>114</v>
      </c>
      <c r="M540" s="1">
        <v>0</v>
      </c>
      <c r="N540" s="1">
        <v>0</v>
      </c>
      <c r="O540" t="s">
        <v>1196</v>
      </c>
      <c r="P540" t="s">
        <v>26</v>
      </c>
    </row>
    <row r="541" spans="1:16" x14ac:dyDescent="0.2">
      <c r="A541" t="s">
        <v>114</v>
      </c>
      <c r="B541" t="s">
        <v>1265</v>
      </c>
      <c r="C541" t="s">
        <v>680</v>
      </c>
      <c r="D541" t="s">
        <v>1266</v>
      </c>
      <c r="E541" t="s">
        <v>38</v>
      </c>
      <c r="F541" t="s">
        <v>45</v>
      </c>
      <c r="G541" t="s">
        <v>46</v>
      </c>
      <c r="H541" s="1">
        <v>10000</v>
      </c>
      <c r="I541" t="s">
        <v>841</v>
      </c>
      <c r="J541" t="s">
        <v>23</v>
      </c>
      <c r="L541" t="s">
        <v>48</v>
      </c>
      <c r="M541" s="1">
        <v>0</v>
      </c>
      <c r="N541" s="1">
        <v>0</v>
      </c>
      <c r="O541" t="s">
        <v>1196</v>
      </c>
      <c r="P541" t="s">
        <v>26</v>
      </c>
    </row>
    <row r="542" spans="1:16" x14ac:dyDescent="0.2">
      <c r="A542" t="s">
        <v>114</v>
      </c>
      <c r="B542" t="s">
        <v>1265</v>
      </c>
      <c r="C542" t="s">
        <v>765</v>
      </c>
      <c r="D542" t="s">
        <v>1267</v>
      </c>
      <c r="E542" t="s">
        <v>38</v>
      </c>
      <c r="F542" t="s">
        <v>1268</v>
      </c>
      <c r="G542" t="s">
        <v>1269</v>
      </c>
      <c r="H542" s="1">
        <v>12981</v>
      </c>
      <c r="I542" t="s">
        <v>1270</v>
      </c>
      <c r="J542" t="s">
        <v>120</v>
      </c>
      <c r="L542" t="s">
        <v>114</v>
      </c>
      <c r="M542" s="1">
        <v>0</v>
      </c>
      <c r="N542" s="1">
        <v>0</v>
      </c>
      <c r="O542" t="s">
        <v>1196</v>
      </c>
      <c r="P542" t="s">
        <v>26</v>
      </c>
    </row>
    <row r="543" spans="1:16" x14ac:dyDescent="0.2">
      <c r="A543" t="s">
        <v>114</v>
      </c>
      <c r="B543" t="s">
        <v>1265</v>
      </c>
      <c r="C543" t="s">
        <v>437</v>
      </c>
      <c r="D543" t="s">
        <v>1271</v>
      </c>
      <c r="E543" t="s">
        <v>71</v>
      </c>
      <c r="F543" t="s">
        <v>1268</v>
      </c>
      <c r="G543" t="s">
        <v>1269</v>
      </c>
      <c r="H543" s="1">
        <v>67888</v>
      </c>
      <c r="I543" t="s">
        <v>1272</v>
      </c>
      <c r="J543" t="s">
        <v>120</v>
      </c>
      <c r="L543" t="s">
        <v>114</v>
      </c>
      <c r="M543" s="1">
        <v>0</v>
      </c>
      <c r="N543" s="1">
        <v>0</v>
      </c>
      <c r="O543" t="s">
        <v>1196</v>
      </c>
      <c r="P543" t="s">
        <v>26</v>
      </c>
    </row>
    <row r="544" spans="1:16" x14ac:dyDescent="0.2">
      <c r="A544" t="s">
        <v>114</v>
      </c>
      <c r="B544" t="s">
        <v>1265</v>
      </c>
      <c r="C544" t="s">
        <v>442</v>
      </c>
      <c r="D544" t="s">
        <v>1273</v>
      </c>
      <c r="E544" t="s">
        <v>71</v>
      </c>
      <c r="F544" t="s">
        <v>1268</v>
      </c>
      <c r="G544" t="s">
        <v>1269</v>
      </c>
      <c r="H544" s="1">
        <v>89255.1</v>
      </c>
      <c r="I544" t="s">
        <v>769</v>
      </c>
      <c r="J544" t="s">
        <v>120</v>
      </c>
      <c r="L544" t="s">
        <v>114</v>
      </c>
      <c r="M544" s="1">
        <v>0</v>
      </c>
      <c r="N544" s="1">
        <v>0</v>
      </c>
      <c r="O544" t="s">
        <v>1196</v>
      </c>
      <c r="P544" t="s">
        <v>26</v>
      </c>
    </row>
    <row r="545" spans="1:16" x14ac:dyDescent="0.2">
      <c r="A545" t="s">
        <v>114</v>
      </c>
      <c r="B545" t="s">
        <v>1265</v>
      </c>
      <c r="C545" t="s">
        <v>447</v>
      </c>
      <c r="D545" t="s">
        <v>1274</v>
      </c>
      <c r="E545" t="s">
        <v>71</v>
      </c>
      <c r="F545" t="s">
        <v>1268</v>
      </c>
      <c r="G545" t="s">
        <v>1269</v>
      </c>
      <c r="H545" s="1">
        <v>83034.3</v>
      </c>
      <c r="I545" t="s">
        <v>1275</v>
      </c>
      <c r="J545" t="s">
        <v>120</v>
      </c>
      <c r="L545" t="s">
        <v>114</v>
      </c>
      <c r="M545" s="1">
        <v>0</v>
      </c>
      <c r="N545" s="1">
        <v>0</v>
      </c>
      <c r="O545" t="s">
        <v>1196</v>
      </c>
      <c r="P545" t="s">
        <v>26</v>
      </c>
    </row>
    <row r="546" spans="1:16" x14ac:dyDescent="0.2">
      <c r="A546" t="s">
        <v>114</v>
      </c>
      <c r="B546" t="s">
        <v>1265</v>
      </c>
      <c r="C546" t="s">
        <v>798</v>
      </c>
      <c r="D546" t="s">
        <v>1276</v>
      </c>
      <c r="E546" t="s">
        <v>44</v>
      </c>
      <c r="F546" t="s">
        <v>1268</v>
      </c>
      <c r="G546" t="s">
        <v>1269</v>
      </c>
      <c r="H546" s="1">
        <v>27047</v>
      </c>
      <c r="I546" t="s">
        <v>1277</v>
      </c>
      <c r="J546" t="s">
        <v>120</v>
      </c>
      <c r="L546" t="s">
        <v>114</v>
      </c>
      <c r="M546" s="1">
        <v>0</v>
      </c>
      <c r="N546" s="1">
        <v>0</v>
      </c>
      <c r="O546" t="s">
        <v>1196</v>
      </c>
      <c r="P546" t="s">
        <v>26</v>
      </c>
    </row>
    <row r="547" spans="1:16" x14ac:dyDescent="0.2">
      <c r="A547" t="s">
        <v>114</v>
      </c>
      <c r="B547" t="s">
        <v>1265</v>
      </c>
      <c r="C547" t="s">
        <v>44</v>
      </c>
      <c r="D547" t="s">
        <v>1278</v>
      </c>
      <c r="E547" t="s">
        <v>44</v>
      </c>
      <c r="F547" t="s">
        <v>1268</v>
      </c>
      <c r="G547" t="s">
        <v>1269</v>
      </c>
      <c r="H547" s="1">
        <v>62208.1</v>
      </c>
      <c r="I547" t="s">
        <v>1277</v>
      </c>
      <c r="J547" t="s">
        <v>120</v>
      </c>
      <c r="L547" t="s">
        <v>114</v>
      </c>
      <c r="M547" s="1">
        <v>0</v>
      </c>
      <c r="N547" s="1">
        <v>0</v>
      </c>
      <c r="O547" t="s">
        <v>1196</v>
      </c>
      <c r="P547" t="s">
        <v>26</v>
      </c>
    </row>
    <row r="548" spans="1:16" x14ac:dyDescent="0.2">
      <c r="A548" t="s">
        <v>114</v>
      </c>
      <c r="B548" t="s">
        <v>1265</v>
      </c>
      <c r="C548" t="s">
        <v>220</v>
      </c>
      <c r="D548" t="s">
        <v>1279</v>
      </c>
      <c r="E548" t="s">
        <v>128</v>
      </c>
      <c r="F548" t="s">
        <v>1268</v>
      </c>
      <c r="G548" t="s">
        <v>1269</v>
      </c>
      <c r="H548" s="1">
        <v>59503.4</v>
      </c>
      <c r="I548" t="s">
        <v>1280</v>
      </c>
      <c r="J548" t="s">
        <v>120</v>
      </c>
      <c r="L548" t="s">
        <v>114</v>
      </c>
      <c r="M548" s="1">
        <v>0</v>
      </c>
      <c r="N548" s="1">
        <v>0</v>
      </c>
      <c r="O548" t="s">
        <v>1196</v>
      </c>
      <c r="P548" t="s">
        <v>26</v>
      </c>
    </row>
    <row r="549" spans="1:16" x14ac:dyDescent="0.2">
      <c r="A549" t="s">
        <v>114</v>
      </c>
      <c r="B549" t="s">
        <v>1265</v>
      </c>
      <c r="C549" t="s">
        <v>154</v>
      </c>
      <c r="D549" t="s">
        <v>1281</v>
      </c>
      <c r="E549" t="s">
        <v>128</v>
      </c>
      <c r="F549" t="s">
        <v>1268</v>
      </c>
      <c r="G549" t="s">
        <v>1269</v>
      </c>
      <c r="H549" s="1">
        <v>40570.5</v>
      </c>
      <c r="I549" t="s">
        <v>1275</v>
      </c>
      <c r="J549" t="s">
        <v>120</v>
      </c>
      <c r="L549" t="s">
        <v>114</v>
      </c>
      <c r="M549" s="1">
        <v>0</v>
      </c>
      <c r="N549" s="1">
        <v>0</v>
      </c>
      <c r="O549" t="s">
        <v>1196</v>
      </c>
      <c r="P549" t="s">
        <v>26</v>
      </c>
    </row>
    <row r="550" spans="1:16" x14ac:dyDescent="0.2">
      <c r="A550" t="s">
        <v>114</v>
      </c>
      <c r="B550" t="s">
        <v>1265</v>
      </c>
      <c r="C550" t="s">
        <v>1282</v>
      </c>
      <c r="D550" t="s">
        <v>1283</v>
      </c>
      <c r="E550" t="s">
        <v>96</v>
      </c>
      <c r="F550" t="s">
        <v>1268</v>
      </c>
      <c r="G550" t="s">
        <v>1269</v>
      </c>
      <c r="H550" s="1">
        <v>48684.6</v>
      </c>
      <c r="I550" t="s">
        <v>972</v>
      </c>
      <c r="J550" t="s">
        <v>120</v>
      </c>
      <c r="L550" t="s">
        <v>114</v>
      </c>
      <c r="M550" s="1">
        <v>0</v>
      </c>
      <c r="N550" s="1">
        <v>0</v>
      </c>
      <c r="O550" t="s">
        <v>1196</v>
      </c>
      <c r="P550" t="s">
        <v>26</v>
      </c>
    </row>
    <row r="551" spans="1:16" x14ac:dyDescent="0.2">
      <c r="A551" t="s">
        <v>114</v>
      </c>
      <c r="B551" t="s">
        <v>1265</v>
      </c>
      <c r="C551" t="s">
        <v>812</v>
      </c>
      <c r="D551" t="s">
        <v>1284</v>
      </c>
      <c r="E551" t="s">
        <v>96</v>
      </c>
      <c r="F551" t="s">
        <v>1268</v>
      </c>
      <c r="G551" t="s">
        <v>1269</v>
      </c>
      <c r="H551" s="1">
        <v>54094</v>
      </c>
      <c r="I551" t="s">
        <v>769</v>
      </c>
      <c r="J551" t="s">
        <v>120</v>
      </c>
      <c r="L551" t="s">
        <v>114</v>
      </c>
      <c r="M551" s="1">
        <v>0</v>
      </c>
      <c r="N551" s="1">
        <v>0</v>
      </c>
      <c r="O551" t="s">
        <v>1196</v>
      </c>
      <c r="P551" t="s">
        <v>26</v>
      </c>
    </row>
    <row r="552" spans="1:16" x14ac:dyDescent="0.2">
      <c r="A552" t="s">
        <v>114</v>
      </c>
      <c r="B552" t="s">
        <v>1265</v>
      </c>
      <c r="C552" t="s">
        <v>529</v>
      </c>
      <c r="D552" t="s">
        <v>1285</v>
      </c>
      <c r="E552" t="s">
        <v>96</v>
      </c>
      <c r="F552" t="s">
        <v>1268</v>
      </c>
      <c r="G552" t="s">
        <v>1269</v>
      </c>
      <c r="H552" s="1">
        <v>40570.5</v>
      </c>
      <c r="I552" t="s">
        <v>769</v>
      </c>
      <c r="J552" t="s">
        <v>120</v>
      </c>
      <c r="L552" t="s">
        <v>114</v>
      </c>
      <c r="M552" s="1">
        <v>0</v>
      </c>
      <c r="N552" s="1">
        <v>0</v>
      </c>
      <c r="O552" t="s">
        <v>1196</v>
      </c>
      <c r="P552" t="s">
        <v>26</v>
      </c>
    </row>
    <row r="553" spans="1:16" x14ac:dyDescent="0.2">
      <c r="A553" t="s">
        <v>114</v>
      </c>
      <c r="B553" t="s">
        <v>1265</v>
      </c>
      <c r="C553" t="s">
        <v>712</v>
      </c>
      <c r="D553" t="s">
        <v>1286</v>
      </c>
      <c r="E553" t="s">
        <v>96</v>
      </c>
      <c r="F553" t="s">
        <v>1268</v>
      </c>
      <c r="G553" t="s">
        <v>1269</v>
      </c>
      <c r="H553" s="1">
        <v>27047</v>
      </c>
      <c r="I553" t="s">
        <v>769</v>
      </c>
      <c r="J553" t="s">
        <v>120</v>
      </c>
      <c r="L553" t="s">
        <v>114</v>
      </c>
      <c r="M553" s="1">
        <v>0</v>
      </c>
      <c r="N553" s="1">
        <v>0</v>
      </c>
      <c r="O553" t="s">
        <v>1196</v>
      </c>
      <c r="P553" t="s">
        <v>26</v>
      </c>
    </row>
    <row r="554" spans="1:16" x14ac:dyDescent="0.2">
      <c r="A554" t="s">
        <v>114</v>
      </c>
      <c r="B554" t="s">
        <v>1265</v>
      </c>
      <c r="C554" t="s">
        <v>1287</v>
      </c>
      <c r="D554" t="s">
        <v>1288</v>
      </c>
      <c r="E554" t="s">
        <v>96</v>
      </c>
      <c r="F554" t="s">
        <v>1268</v>
      </c>
      <c r="G554" t="s">
        <v>1269</v>
      </c>
      <c r="H554" s="1">
        <v>57610.1</v>
      </c>
      <c r="I554" t="s">
        <v>1289</v>
      </c>
      <c r="J554" t="s">
        <v>120</v>
      </c>
      <c r="L554" t="s">
        <v>114</v>
      </c>
      <c r="M554" s="1">
        <v>0</v>
      </c>
      <c r="N554" s="1">
        <v>0</v>
      </c>
      <c r="O554" t="s">
        <v>1196</v>
      </c>
      <c r="P554" t="s">
        <v>26</v>
      </c>
    </row>
    <row r="555" spans="1:16" x14ac:dyDescent="0.2">
      <c r="A555" t="s">
        <v>114</v>
      </c>
      <c r="B555" t="s">
        <v>1265</v>
      </c>
      <c r="C555" t="s">
        <v>1290</v>
      </c>
      <c r="D555" t="s">
        <v>1291</v>
      </c>
      <c r="E555" t="s">
        <v>96</v>
      </c>
      <c r="F555" t="s">
        <v>1268</v>
      </c>
      <c r="G555" t="s">
        <v>1269</v>
      </c>
      <c r="H555" s="1">
        <v>43275.199999999997</v>
      </c>
      <c r="I555" t="s">
        <v>1280</v>
      </c>
      <c r="J555" t="s">
        <v>120</v>
      </c>
      <c r="L555" t="s">
        <v>114</v>
      </c>
      <c r="M555" s="1">
        <v>0</v>
      </c>
      <c r="N555" s="1">
        <v>0</v>
      </c>
      <c r="O555" t="s">
        <v>1196</v>
      </c>
      <c r="P555" t="s">
        <v>26</v>
      </c>
    </row>
    <row r="556" spans="1:16" x14ac:dyDescent="0.2">
      <c r="A556" t="s">
        <v>114</v>
      </c>
      <c r="B556" t="s">
        <v>1265</v>
      </c>
      <c r="C556" t="s">
        <v>594</v>
      </c>
      <c r="D556" t="s">
        <v>1292</v>
      </c>
      <c r="E556" t="s">
        <v>96</v>
      </c>
      <c r="F556" t="s">
        <v>1268</v>
      </c>
      <c r="G556" t="s">
        <v>1269</v>
      </c>
      <c r="H556" s="1">
        <v>40570.5</v>
      </c>
      <c r="I556" t="s">
        <v>1293</v>
      </c>
      <c r="J556" t="s">
        <v>120</v>
      </c>
      <c r="L556" t="s">
        <v>114</v>
      </c>
      <c r="M556" s="1">
        <v>0</v>
      </c>
      <c r="N556" s="1">
        <v>0</v>
      </c>
      <c r="O556" t="s">
        <v>1196</v>
      </c>
      <c r="P556" t="s">
        <v>26</v>
      </c>
    </row>
    <row r="557" spans="1:16" x14ac:dyDescent="0.2">
      <c r="A557" t="s">
        <v>114</v>
      </c>
      <c r="B557" t="s">
        <v>1294</v>
      </c>
      <c r="C557" t="s">
        <v>267</v>
      </c>
      <c r="D557" t="s">
        <v>1295</v>
      </c>
      <c r="E557" t="s">
        <v>67</v>
      </c>
      <c r="F557" t="s">
        <v>1296</v>
      </c>
      <c r="G557" t="s">
        <v>1297</v>
      </c>
      <c r="H557" s="1">
        <v>32684</v>
      </c>
      <c r="I557" t="s">
        <v>1253</v>
      </c>
      <c r="J557" t="s">
        <v>120</v>
      </c>
      <c r="L557" t="s">
        <v>114</v>
      </c>
      <c r="M557" s="1">
        <v>0</v>
      </c>
      <c r="N557" s="1">
        <v>0</v>
      </c>
      <c r="O557" t="s">
        <v>1196</v>
      </c>
      <c r="P557" t="s">
        <v>26</v>
      </c>
    </row>
    <row r="558" spans="1:16" x14ac:dyDescent="0.2">
      <c r="A558" t="s">
        <v>114</v>
      </c>
      <c r="B558" t="s">
        <v>1294</v>
      </c>
      <c r="C558" t="s">
        <v>1298</v>
      </c>
      <c r="D558" t="s">
        <v>1299</v>
      </c>
      <c r="E558" t="s">
        <v>67</v>
      </c>
      <c r="F558" t="s">
        <v>1296</v>
      </c>
      <c r="G558" t="s">
        <v>1297</v>
      </c>
      <c r="H558" s="1">
        <v>16342</v>
      </c>
      <c r="I558" t="s">
        <v>1300</v>
      </c>
      <c r="J558" t="s">
        <v>120</v>
      </c>
      <c r="L558" t="s">
        <v>114</v>
      </c>
      <c r="M558" s="1">
        <v>0</v>
      </c>
      <c r="N558" s="1">
        <v>0</v>
      </c>
      <c r="O558" t="s">
        <v>1196</v>
      </c>
      <c r="P558" t="s">
        <v>26</v>
      </c>
    </row>
    <row r="559" spans="1:16" x14ac:dyDescent="0.2">
      <c r="A559" t="s">
        <v>114</v>
      </c>
      <c r="B559" t="s">
        <v>1294</v>
      </c>
      <c r="C559" t="s">
        <v>760</v>
      </c>
      <c r="D559" t="s">
        <v>1301</v>
      </c>
      <c r="E559" t="s">
        <v>38</v>
      </c>
      <c r="F559" t="s">
        <v>1245</v>
      </c>
      <c r="G559" t="s">
        <v>1246</v>
      </c>
      <c r="H559" s="1">
        <v>15000</v>
      </c>
      <c r="I559" t="s">
        <v>1302</v>
      </c>
      <c r="J559" t="s">
        <v>120</v>
      </c>
      <c r="L559" t="s">
        <v>114</v>
      </c>
      <c r="M559" s="1">
        <v>0</v>
      </c>
      <c r="N559" s="1">
        <v>0</v>
      </c>
      <c r="O559" t="s">
        <v>1196</v>
      </c>
      <c r="P559" t="s">
        <v>26</v>
      </c>
    </row>
    <row r="560" spans="1:16" x14ac:dyDescent="0.2">
      <c r="A560" t="s">
        <v>114</v>
      </c>
      <c r="B560" t="s">
        <v>1294</v>
      </c>
      <c r="C560" t="s">
        <v>432</v>
      </c>
      <c r="D560" t="s">
        <v>1303</v>
      </c>
      <c r="E560" t="s">
        <v>71</v>
      </c>
      <c r="F560" t="s">
        <v>1296</v>
      </c>
      <c r="G560" t="s">
        <v>1297</v>
      </c>
      <c r="H560" s="1">
        <v>32684</v>
      </c>
      <c r="I560" t="s">
        <v>784</v>
      </c>
      <c r="J560" t="s">
        <v>120</v>
      </c>
      <c r="L560" t="s">
        <v>114</v>
      </c>
      <c r="M560" s="1">
        <v>0</v>
      </c>
      <c r="N560" s="1">
        <v>0</v>
      </c>
      <c r="O560" t="s">
        <v>1196</v>
      </c>
      <c r="P560" t="s">
        <v>26</v>
      </c>
    </row>
    <row r="561" spans="1:16" x14ac:dyDescent="0.2">
      <c r="A561" t="s">
        <v>114</v>
      </c>
      <c r="B561" t="s">
        <v>1294</v>
      </c>
      <c r="C561" t="s">
        <v>442</v>
      </c>
      <c r="D561" t="s">
        <v>1304</v>
      </c>
      <c r="E561" t="s">
        <v>71</v>
      </c>
      <c r="F561" t="s">
        <v>1296</v>
      </c>
      <c r="G561" t="s">
        <v>1297</v>
      </c>
      <c r="H561" s="1">
        <v>24513</v>
      </c>
      <c r="I561" t="s">
        <v>1255</v>
      </c>
      <c r="J561" t="s">
        <v>120</v>
      </c>
      <c r="L561" t="s">
        <v>114</v>
      </c>
      <c r="M561" s="1">
        <v>0</v>
      </c>
      <c r="N561" s="1">
        <v>0</v>
      </c>
      <c r="O561" t="s">
        <v>1196</v>
      </c>
      <c r="P561" t="s">
        <v>26</v>
      </c>
    </row>
    <row r="562" spans="1:16" x14ac:dyDescent="0.2">
      <c r="A562" t="s">
        <v>114</v>
      </c>
      <c r="B562" t="s">
        <v>1294</v>
      </c>
      <c r="C562" t="s">
        <v>1305</v>
      </c>
      <c r="D562" t="s">
        <v>1306</v>
      </c>
      <c r="E562" t="s">
        <v>71</v>
      </c>
      <c r="F562" t="s">
        <v>1296</v>
      </c>
      <c r="G562" t="s">
        <v>1297</v>
      </c>
      <c r="H562" s="1">
        <v>32684</v>
      </c>
      <c r="I562" t="s">
        <v>784</v>
      </c>
      <c r="J562" t="s">
        <v>120</v>
      </c>
      <c r="L562" t="s">
        <v>114</v>
      </c>
      <c r="M562" s="1">
        <v>0</v>
      </c>
      <c r="N562" s="1">
        <v>0</v>
      </c>
      <c r="O562" t="s">
        <v>1196</v>
      </c>
      <c r="P562" t="s">
        <v>26</v>
      </c>
    </row>
    <row r="563" spans="1:16" x14ac:dyDescent="0.2">
      <c r="A563" t="s">
        <v>114</v>
      </c>
      <c r="B563" t="s">
        <v>1294</v>
      </c>
      <c r="C563" t="s">
        <v>447</v>
      </c>
      <c r="D563" t="s">
        <v>1307</v>
      </c>
      <c r="E563" t="s">
        <v>71</v>
      </c>
      <c r="F563" t="s">
        <v>1296</v>
      </c>
      <c r="G563" t="s">
        <v>1297</v>
      </c>
      <c r="H563" s="1">
        <v>24513</v>
      </c>
      <c r="I563" t="s">
        <v>1308</v>
      </c>
      <c r="J563" t="s">
        <v>120</v>
      </c>
      <c r="L563" t="s">
        <v>114</v>
      </c>
      <c r="M563" s="1">
        <v>0</v>
      </c>
      <c r="N563" s="1">
        <v>0</v>
      </c>
      <c r="O563" t="s">
        <v>1196</v>
      </c>
      <c r="P563" t="s">
        <v>26</v>
      </c>
    </row>
    <row r="564" spans="1:16" x14ac:dyDescent="0.2">
      <c r="A564" t="s">
        <v>114</v>
      </c>
      <c r="B564" t="s">
        <v>1294</v>
      </c>
      <c r="C564" t="s">
        <v>44</v>
      </c>
      <c r="D564" t="s">
        <v>1309</v>
      </c>
      <c r="E564" t="s">
        <v>44</v>
      </c>
      <c r="F564" t="s">
        <v>1296</v>
      </c>
      <c r="G564" t="s">
        <v>1297</v>
      </c>
      <c r="H564" s="1">
        <v>32684</v>
      </c>
      <c r="I564" t="s">
        <v>1229</v>
      </c>
      <c r="J564" t="s">
        <v>120</v>
      </c>
      <c r="L564" t="s">
        <v>114</v>
      </c>
      <c r="M564" s="1">
        <v>0</v>
      </c>
      <c r="N564" s="1">
        <v>0</v>
      </c>
      <c r="O564" t="s">
        <v>1196</v>
      </c>
      <c r="P564" t="s">
        <v>26</v>
      </c>
    </row>
    <row r="565" spans="1:16" x14ac:dyDescent="0.2">
      <c r="A565" t="s">
        <v>114</v>
      </c>
      <c r="B565" t="s">
        <v>1294</v>
      </c>
      <c r="C565" t="s">
        <v>52</v>
      </c>
      <c r="D565" t="s">
        <v>1310</v>
      </c>
      <c r="E565" t="s">
        <v>44</v>
      </c>
      <c r="F565" t="s">
        <v>1296</v>
      </c>
      <c r="G565" t="s">
        <v>1297</v>
      </c>
      <c r="H565" s="1">
        <v>45757.599999999999</v>
      </c>
      <c r="I565" t="s">
        <v>1311</v>
      </c>
      <c r="J565" t="s">
        <v>120</v>
      </c>
      <c r="L565" t="s">
        <v>114</v>
      </c>
      <c r="M565" s="1">
        <v>0</v>
      </c>
      <c r="N565" s="1">
        <v>0</v>
      </c>
      <c r="O565" t="s">
        <v>1196</v>
      </c>
      <c r="P565" t="s">
        <v>26</v>
      </c>
    </row>
    <row r="566" spans="1:16" x14ac:dyDescent="0.2">
      <c r="A566" t="s">
        <v>114</v>
      </c>
      <c r="B566" t="s">
        <v>1294</v>
      </c>
      <c r="C566" t="s">
        <v>126</v>
      </c>
      <c r="D566" t="s">
        <v>1312</v>
      </c>
      <c r="E566" t="s">
        <v>128</v>
      </c>
      <c r="F566" t="s">
        <v>1296</v>
      </c>
      <c r="G566" t="s">
        <v>1297</v>
      </c>
      <c r="H566" s="1">
        <v>31049.8</v>
      </c>
      <c r="I566" t="s">
        <v>1308</v>
      </c>
      <c r="J566" t="s">
        <v>120</v>
      </c>
      <c r="L566" t="s">
        <v>114</v>
      </c>
      <c r="M566" s="1">
        <v>0</v>
      </c>
      <c r="N566" s="1">
        <v>0</v>
      </c>
      <c r="O566" t="s">
        <v>1196</v>
      </c>
      <c r="P566" t="s">
        <v>26</v>
      </c>
    </row>
    <row r="567" spans="1:16" x14ac:dyDescent="0.2">
      <c r="A567" t="s">
        <v>114</v>
      </c>
      <c r="B567" t="s">
        <v>1294</v>
      </c>
      <c r="C567" t="s">
        <v>575</v>
      </c>
      <c r="D567" t="s">
        <v>1313</v>
      </c>
      <c r="E567" t="s">
        <v>96</v>
      </c>
      <c r="F567" t="s">
        <v>1296</v>
      </c>
      <c r="G567" t="s">
        <v>1297</v>
      </c>
      <c r="H567" s="1">
        <v>24513</v>
      </c>
      <c r="I567" t="s">
        <v>1314</v>
      </c>
      <c r="J567" t="s">
        <v>120</v>
      </c>
      <c r="L567" t="s">
        <v>114</v>
      </c>
      <c r="M567" s="1">
        <v>0</v>
      </c>
      <c r="N567" s="1">
        <v>0</v>
      </c>
      <c r="O567" t="s">
        <v>1196</v>
      </c>
      <c r="P567" t="s">
        <v>26</v>
      </c>
    </row>
    <row r="568" spans="1:16" x14ac:dyDescent="0.2">
      <c r="A568" t="s">
        <v>114</v>
      </c>
      <c r="B568" t="s">
        <v>1294</v>
      </c>
      <c r="C568" t="s">
        <v>354</v>
      </c>
      <c r="D568" t="s">
        <v>1315</v>
      </c>
      <c r="E568" t="s">
        <v>96</v>
      </c>
      <c r="F568" t="s">
        <v>1296</v>
      </c>
      <c r="G568" t="s">
        <v>1297</v>
      </c>
      <c r="H568" s="1">
        <v>24513</v>
      </c>
      <c r="I568" t="s">
        <v>737</v>
      </c>
      <c r="J568" t="s">
        <v>120</v>
      </c>
      <c r="L568" t="s">
        <v>114</v>
      </c>
      <c r="M568" s="1">
        <v>0</v>
      </c>
      <c r="N568" s="1">
        <v>0</v>
      </c>
      <c r="O568" t="s">
        <v>1196</v>
      </c>
      <c r="P568" t="s">
        <v>26</v>
      </c>
    </row>
    <row r="569" spans="1:16" x14ac:dyDescent="0.2">
      <c r="A569" t="s">
        <v>114</v>
      </c>
      <c r="B569" t="s">
        <v>1294</v>
      </c>
      <c r="C569" t="s">
        <v>1316</v>
      </c>
      <c r="D569" t="s">
        <v>1317</v>
      </c>
      <c r="E569" t="s">
        <v>96</v>
      </c>
      <c r="F569" t="s">
        <v>1296</v>
      </c>
      <c r="G569" t="s">
        <v>1297</v>
      </c>
      <c r="H569" s="1">
        <v>24513</v>
      </c>
      <c r="I569" t="s">
        <v>1261</v>
      </c>
      <c r="J569" t="s">
        <v>120</v>
      </c>
      <c r="L569" t="s">
        <v>114</v>
      </c>
      <c r="M569" s="1">
        <v>0</v>
      </c>
      <c r="N569" s="1">
        <v>0</v>
      </c>
      <c r="O569" t="s">
        <v>1196</v>
      </c>
      <c r="P569" t="s">
        <v>26</v>
      </c>
    </row>
    <row r="570" spans="1:16" x14ac:dyDescent="0.2">
      <c r="A570" t="s">
        <v>114</v>
      </c>
      <c r="B570" t="s">
        <v>1294</v>
      </c>
      <c r="C570" t="s">
        <v>288</v>
      </c>
      <c r="D570" t="s">
        <v>1318</v>
      </c>
      <c r="E570" t="s">
        <v>96</v>
      </c>
      <c r="F570" t="s">
        <v>1296</v>
      </c>
      <c r="G570" t="s">
        <v>1297</v>
      </c>
      <c r="H570" s="1">
        <v>37586.6</v>
      </c>
      <c r="I570" t="s">
        <v>1319</v>
      </c>
      <c r="J570" t="s">
        <v>120</v>
      </c>
      <c r="L570" t="s">
        <v>114</v>
      </c>
      <c r="M570" s="1">
        <v>0</v>
      </c>
      <c r="N570" s="1">
        <v>0</v>
      </c>
      <c r="O570" t="s">
        <v>1196</v>
      </c>
      <c r="P570" t="s">
        <v>26</v>
      </c>
    </row>
    <row r="571" spans="1:16" x14ac:dyDescent="0.2">
      <c r="A571" t="s">
        <v>114</v>
      </c>
      <c r="B571" t="s">
        <v>1294</v>
      </c>
      <c r="C571" t="s">
        <v>357</v>
      </c>
      <c r="D571" t="s">
        <v>1320</v>
      </c>
      <c r="E571" t="s">
        <v>96</v>
      </c>
      <c r="F571" t="s">
        <v>1296</v>
      </c>
      <c r="G571" t="s">
        <v>1297</v>
      </c>
      <c r="H571" s="1">
        <v>24513</v>
      </c>
      <c r="I571" t="s">
        <v>1321</v>
      </c>
      <c r="J571" t="s">
        <v>120</v>
      </c>
      <c r="L571" t="s">
        <v>114</v>
      </c>
      <c r="M571" s="1">
        <v>0</v>
      </c>
      <c r="N571" s="1">
        <v>0</v>
      </c>
      <c r="O571" t="s">
        <v>1196</v>
      </c>
      <c r="P571" t="s">
        <v>26</v>
      </c>
    </row>
    <row r="572" spans="1:16" x14ac:dyDescent="0.2">
      <c r="A572" t="s">
        <v>114</v>
      </c>
      <c r="B572" t="s">
        <v>1294</v>
      </c>
      <c r="C572" t="s">
        <v>1211</v>
      </c>
      <c r="D572" t="s">
        <v>1322</v>
      </c>
      <c r="E572" t="s">
        <v>96</v>
      </c>
      <c r="F572" t="s">
        <v>1296</v>
      </c>
      <c r="G572" t="s">
        <v>1297</v>
      </c>
      <c r="H572" s="1">
        <v>36769.5</v>
      </c>
      <c r="I572" t="s">
        <v>1323</v>
      </c>
      <c r="J572" t="s">
        <v>120</v>
      </c>
      <c r="L572" t="s">
        <v>114</v>
      </c>
      <c r="M572" s="1">
        <v>0</v>
      </c>
      <c r="N572" s="1">
        <v>0</v>
      </c>
      <c r="O572" t="s">
        <v>1196</v>
      </c>
      <c r="P572" t="s">
        <v>26</v>
      </c>
    </row>
    <row r="573" spans="1:16" x14ac:dyDescent="0.2">
      <c r="A573" t="s">
        <v>114</v>
      </c>
      <c r="B573" t="s">
        <v>1294</v>
      </c>
      <c r="C573" t="s">
        <v>594</v>
      </c>
      <c r="D573" t="s">
        <v>1324</v>
      </c>
      <c r="E573" t="s">
        <v>96</v>
      </c>
      <c r="F573" t="s">
        <v>1296</v>
      </c>
      <c r="G573" t="s">
        <v>1297</v>
      </c>
      <c r="H573" s="1">
        <v>32684</v>
      </c>
      <c r="I573" t="s">
        <v>1325</v>
      </c>
      <c r="J573" t="s">
        <v>120</v>
      </c>
      <c r="L573" t="s">
        <v>114</v>
      </c>
      <c r="M573" s="1">
        <v>0</v>
      </c>
      <c r="N573" s="1">
        <v>0</v>
      </c>
      <c r="O573" t="s">
        <v>1196</v>
      </c>
      <c r="P573" t="s">
        <v>26</v>
      </c>
    </row>
    <row r="574" spans="1:16" x14ac:dyDescent="0.2">
      <c r="A574" t="s">
        <v>114</v>
      </c>
      <c r="B574" t="s">
        <v>1326</v>
      </c>
      <c r="C574" t="s">
        <v>1327</v>
      </c>
      <c r="D574" t="s">
        <v>1328</v>
      </c>
      <c r="E574" t="s">
        <v>67</v>
      </c>
      <c r="F574" t="s">
        <v>1329</v>
      </c>
      <c r="G574" t="s">
        <v>1330</v>
      </c>
      <c r="H574" s="1">
        <v>14232</v>
      </c>
      <c r="I574" t="s">
        <v>1253</v>
      </c>
      <c r="J574" t="s">
        <v>120</v>
      </c>
      <c r="L574" t="s">
        <v>114</v>
      </c>
      <c r="M574" s="1">
        <v>0</v>
      </c>
      <c r="N574" s="1">
        <v>0</v>
      </c>
      <c r="O574" t="s">
        <v>1196</v>
      </c>
      <c r="P574" t="s">
        <v>26</v>
      </c>
    </row>
    <row r="575" spans="1:16" x14ac:dyDescent="0.2">
      <c r="A575" t="s">
        <v>114</v>
      </c>
      <c r="B575" t="s">
        <v>1326</v>
      </c>
      <c r="C575" t="s">
        <v>1298</v>
      </c>
      <c r="D575" t="s">
        <v>1331</v>
      </c>
      <c r="E575" t="s">
        <v>67</v>
      </c>
      <c r="F575" t="s">
        <v>1329</v>
      </c>
      <c r="G575" t="s">
        <v>1330</v>
      </c>
      <c r="H575" s="1">
        <v>14232</v>
      </c>
      <c r="I575" t="s">
        <v>1300</v>
      </c>
      <c r="J575" t="s">
        <v>120</v>
      </c>
      <c r="L575" t="s">
        <v>114</v>
      </c>
      <c r="M575" s="1">
        <v>0</v>
      </c>
      <c r="N575" s="1">
        <v>0</v>
      </c>
      <c r="O575" t="s">
        <v>1196</v>
      </c>
      <c r="P575" t="s">
        <v>26</v>
      </c>
    </row>
    <row r="576" spans="1:16" x14ac:dyDescent="0.2">
      <c r="A576" t="s">
        <v>114</v>
      </c>
      <c r="B576" t="s">
        <v>1326</v>
      </c>
      <c r="C576" t="s">
        <v>432</v>
      </c>
      <c r="D576" t="s">
        <v>1332</v>
      </c>
      <c r="E576" t="s">
        <v>71</v>
      </c>
      <c r="F576" t="s">
        <v>1329</v>
      </c>
      <c r="G576" t="s">
        <v>1330</v>
      </c>
      <c r="H576" s="1">
        <v>27752.400000000001</v>
      </c>
      <c r="I576" t="s">
        <v>784</v>
      </c>
      <c r="J576" t="s">
        <v>120</v>
      </c>
      <c r="L576" t="s">
        <v>114</v>
      </c>
      <c r="M576" s="1">
        <v>0</v>
      </c>
      <c r="N576" s="1">
        <v>0</v>
      </c>
      <c r="O576" t="s">
        <v>1196</v>
      </c>
      <c r="P576" t="s">
        <v>26</v>
      </c>
    </row>
    <row r="577" spans="1:16" x14ac:dyDescent="0.2">
      <c r="A577" t="s">
        <v>114</v>
      </c>
      <c r="B577" t="s">
        <v>1326</v>
      </c>
      <c r="C577" t="s">
        <v>442</v>
      </c>
      <c r="D577" t="s">
        <v>1333</v>
      </c>
      <c r="E577" t="s">
        <v>71</v>
      </c>
      <c r="F577" t="s">
        <v>1329</v>
      </c>
      <c r="G577" t="s">
        <v>1330</v>
      </c>
      <c r="H577" s="1">
        <v>21348</v>
      </c>
      <c r="I577" t="s">
        <v>1255</v>
      </c>
      <c r="J577" t="s">
        <v>120</v>
      </c>
      <c r="L577" t="s">
        <v>114</v>
      </c>
      <c r="M577" s="1">
        <v>0</v>
      </c>
      <c r="N577" s="1">
        <v>0</v>
      </c>
      <c r="O577" t="s">
        <v>1196</v>
      </c>
      <c r="P577" t="s">
        <v>26</v>
      </c>
    </row>
    <row r="578" spans="1:16" x14ac:dyDescent="0.2">
      <c r="A578" t="s">
        <v>114</v>
      </c>
      <c r="B578" t="s">
        <v>1326</v>
      </c>
      <c r="C578" t="s">
        <v>1305</v>
      </c>
      <c r="D578" t="s">
        <v>1334</v>
      </c>
      <c r="E578" t="s">
        <v>71</v>
      </c>
      <c r="F578" t="s">
        <v>1329</v>
      </c>
      <c r="G578" t="s">
        <v>1330</v>
      </c>
      <c r="H578" s="1">
        <v>21348</v>
      </c>
      <c r="I578" t="s">
        <v>784</v>
      </c>
      <c r="J578" t="s">
        <v>120</v>
      </c>
      <c r="L578" t="s">
        <v>114</v>
      </c>
      <c r="M578" s="1">
        <v>0</v>
      </c>
      <c r="N578" s="1">
        <v>0</v>
      </c>
      <c r="O578" t="s">
        <v>1196</v>
      </c>
      <c r="P578" t="s">
        <v>26</v>
      </c>
    </row>
    <row r="579" spans="1:16" x14ac:dyDescent="0.2">
      <c r="A579" t="s">
        <v>114</v>
      </c>
      <c r="B579" t="s">
        <v>1326</v>
      </c>
      <c r="C579" t="s">
        <v>447</v>
      </c>
      <c r="D579" t="s">
        <v>1335</v>
      </c>
      <c r="E579" t="s">
        <v>71</v>
      </c>
      <c r="F579" t="s">
        <v>1329</v>
      </c>
      <c r="G579" t="s">
        <v>1330</v>
      </c>
      <c r="H579" s="1">
        <v>28464</v>
      </c>
      <c r="I579" t="s">
        <v>1308</v>
      </c>
      <c r="J579" t="s">
        <v>120</v>
      </c>
      <c r="L579" t="s">
        <v>114</v>
      </c>
      <c r="M579" s="1">
        <v>0</v>
      </c>
      <c r="N579" s="1">
        <v>0</v>
      </c>
      <c r="O579" t="s">
        <v>1196</v>
      </c>
      <c r="P579" t="s">
        <v>26</v>
      </c>
    </row>
    <row r="580" spans="1:16" x14ac:dyDescent="0.2">
      <c r="A580" t="s">
        <v>114</v>
      </c>
      <c r="B580" t="s">
        <v>1326</v>
      </c>
      <c r="C580" t="s">
        <v>280</v>
      </c>
      <c r="D580" t="s">
        <v>1336</v>
      </c>
      <c r="E580" t="s">
        <v>96</v>
      </c>
      <c r="F580" t="s">
        <v>1329</v>
      </c>
      <c r="G580" t="s">
        <v>1330</v>
      </c>
      <c r="H580" s="1">
        <v>28464</v>
      </c>
      <c r="I580" t="s">
        <v>927</v>
      </c>
      <c r="J580" t="s">
        <v>120</v>
      </c>
      <c r="L580" t="s">
        <v>114</v>
      </c>
      <c r="M580" s="1">
        <v>0</v>
      </c>
      <c r="N580" s="1">
        <v>0</v>
      </c>
      <c r="O580" t="s">
        <v>1196</v>
      </c>
      <c r="P580" t="s">
        <v>26</v>
      </c>
    </row>
    <row r="581" spans="1:16" x14ac:dyDescent="0.2">
      <c r="A581" t="s">
        <v>114</v>
      </c>
      <c r="B581" t="s">
        <v>1326</v>
      </c>
      <c r="C581" t="s">
        <v>712</v>
      </c>
      <c r="D581" t="s">
        <v>1337</v>
      </c>
      <c r="E581" t="s">
        <v>96</v>
      </c>
      <c r="F581" t="s">
        <v>1329</v>
      </c>
      <c r="G581" t="s">
        <v>1330</v>
      </c>
      <c r="H581" s="1">
        <v>33160.6</v>
      </c>
      <c r="I581" t="s">
        <v>1255</v>
      </c>
      <c r="J581" t="s">
        <v>120</v>
      </c>
      <c r="L581" t="s">
        <v>114</v>
      </c>
      <c r="M581" s="1">
        <v>0</v>
      </c>
      <c r="N581" s="1">
        <v>0</v>
      </c>
      <c r="O581" t="s">
        <v>1196</v>
      </c>
      <c r="P581" t="s">
        <v>26</v>
      </c>
    </row>
    <row r="582" spans="1:16" x14ac:dyDescent="0.2">
      <c r="A582" t="s">
        <v>114</v>
      </c>
      <c r="B582" t="s">
        <v>1326</v>
      </c>
      <c r="C582" t="s">
        <v>288</v>
      </c>
      <c r="D582" t="s">
        <v>1338</v>
      </c>
      <c r="E582" t="s">
        <v>96</v>
      </c>
      <c r="F582" t="s">
        <v>1329</v>
      </c>
      <c r="G582" t="s">
        <v>1330</v>
      </c>
      <c r="H582" s="1">
        <v>21348</v>
      </c>
      <c r="I582" t="s">
        <v>927</v>
      </c>
      <c r="J582" t="s">
        <v>120</v>
      </c>
      <c r="L582" t="s">
        <v>114</v>
      </c>
      <c r="M582" s="1">
        <v>0</v>
      </c>
      <c r="N582" s="1">
        <v>0</v>
      </c>
      <c r="O582" t="s">
        <v>1196</v>
      </c>
      <c r="P582" t="s">
        <v>26</v>
      </c>
    </row>
    <row r="583" spans="1:16" x14ac:dyDescent="0.2">
      <c r="A583" t="s">
        <v>114</v>
      </c>
      <c r="B583" t="s">
        <v>1326</v>
      </c>
      <c r="C583" t="s">
        <v>1211</v>
      </c>
      <c r="D583" t="s">
        <v>1339</v>
      </c>
      <c r="E583" t="s">
        <v>96</v>
      </c>
      <c r="F583" t="s">
        <v>1329</v>
      </c>
      <c r="G583" t="s">
        <v>1330</v>
      </c>
      <c r="H583" s="1">
        <v>32022</v>
      </c>
      <c r="I583" t="s">
        <v>1340</v>
      </c>
      <c r="J583" t="s">
        <v>120</v>
      </c>
      <c r="L583" t="s">
        <v>114</v>
      </c>
      <c r="M583" s="1">
        <v>0</v>
      </c>
      <c r="N583" s="1">
        <v>0</v>
      </c>
      <c r="O583" t="s">
        <v>1196</v>
      </c>
      <c r="P583" t="s">
        <v>26</v>
      </c>
    </row>
    <row r="584" spans="1:16" x14ac:dyDescent="0.2">
      <c r="A584" t="s">
        <v>114</v>
      </c>
      <c r="B584" t="s">
        <v>1326</v>
      </c>
      <c r="C584" t="s">
        <v>594</v>
      </c>
      <c r="D584" t="s">
        <v>1341</v>
      </c>
      <c r="E584" t="s">
        <v>96</v>
      </c>
      <c r="F584" t="s">
        <v>1329</v>
      </c>
      <c r="G584" t="s">
        <v>1330</v>
      </c>
      <c r="H584" s="1">
        <v>21348</v>
      </c>
      <c r="I584" t="s">
        <v>1325</v>
      </c>
      <c r="J584" t="s">
        <v>120</v>
      </c>
      <c r="L584" t="s">
        <v>114</v>
      </c>
      <c r="M584" s="1">
        <v>0</v>
      </c>
      <c r="N584" s="1">
        <v>0</v>
      </c>
      <c r="O584" t="s">
        <v>1196</v>
      </c>
      <c r="P584" t="s">
        <v>26</v>
      </c>
    </row>
    <row r="585" spans="1:16" x14ac:dyDescent="0.2">
      <c r="A585" t="s">
        <v>114</v>
      </c>
      <c r="B585" t="s">
        <v>1342</v>
      </c>
      <c r="C585" t="s">
        <v>432</v>
      </c>
      <c r="D585" t="s">
        <v>1343</v>
      </c>
      <c r="E585" t="s">
        <v>71</v>
      </c>
      <c r="F585" t="s">
        <v>1344</v>
      </c>
      <c r="G585" t="s">
        <v>1345</v>
      </c>
      <c r="H585" s="1">
        <v>16914</v>
      </c>
      <c r="I585" t="s">
        <v>784</v>
      </c>
      <c r="J585" t="s">
        <v>120</v>
      </c>
      <c r="L585" t="s">
        <v>114</v>
      </c>
      <c r="M585" s="1">
        <v>0</v>
      </c>
      <c r="N585" s="1">
        <v>0</v>
      </c>
      <c r="O585" t="s">
        <v>1196</v>
      </c>
      <c r="P585" t="s">
        <v>26</v>
      </c>
    </row>
    <row r="586" spans="1:16" x14ac:dyDescent="0.2">
      <c r="A586" t="s">
        <v>114</v>
      </c>
      <c r="B586" t="s">
        <v>1342</v>
      </c>
      <c r="C586" t="s">
        <v>793</v>
      </c>
      <c r="D586" t="s">
        <v>1346</v>
      </c>
      <c r="E586" t="s">
        <v>71</v>
      </c>
      <c r="F586" t="s">
        <v>1344</v>
      </c>
      <c r="G586" t="s">
        <v>1345</v>
      </c>
      <c r="H586" s="1">
        <v>8457</v>
      </c>
      <c r="I586" t="s">
        <v>769</v>
      </c>
      <c r="J586" t="s">
        <v>120</v>
      </c>
      <c r="L586" t="s">
        <v>114</v>
      </c>
      <c r="M586" s="1">
        <v>0</v>
      </c>
      <c r="N586" s="1">
        <v>0</v>
      </c>
      <c r="O586" t="s">
        <v>1196</v>
      </c>
      <c r="P586" t="s">
        <v>26</v>
      </c>
    </row>
    <row r="587" spans="1:16" x14ac:dyDescent="0.2">
      <c r="A587" t="s">
        <v>114</v>
      </c>
      <c r="B587" t="s">
        <v>1342</v>
      </c>
      <c r="C587" t="s">
        <v>1305</v>
      </c>
      <c r="D587" t="s">
        <v>1347</v>
      </c>
      <c r="E587" t="s">
        <v>71</v>
      </c>
      <c r="F587" t="s">
        <v>1344</v>
      </c>
      <c r="G587" t="s">
        <v>1345</v>
      </c>
      <c r="H587" s="1">
        <v>16914</v>
      </c>
      <c r="I587" t="s">
        <v>784</v>
      </c>
      <c r="J587" t="s">
        <v>120</v>
      </c>
      <c r="L587" t="s">
        <v>114</v>
      </c>
      <c r="M587" s="1">
        <v>0</v>
      </c>
      <c r="N587" s="1">
        <v>0</v>
      </c>
      <c r="O587" t="s">
        <v>1196</v>
      </c>
      <c r="P587" t="s">
        <v>26</v>
      </c>
    </row>
    <row r="588" spans="1:16" x14ac:dyDescent="0.2">
      <c r="A588" t="s">
        <v>114</v>
      </c>
      <c r="B588" t="s">
        <v>1342</v>
      </c>
      <c r="C588" t="s">
        <v>447</v>
      </c>
      <c r="D588" t="s">
        <v>1348</v>
      </c>
      <c r="E588" t="s">
        <v>71</v>
      </c>
      <c r="F588" t="s">
        <v>1344</v>
      </c>
      <c r="G588" t="s">
        <v>1345</v>
      </c>
      <c r="H588" s="1">
        <v>12685.5</v>
      </c>
      <c r="I588" t="s">
        <v>1308</v>
      </c>
      <c r="J588" t="s">
        <v>120</v>
      </c>
      <c r="L588" t="s">
        <v>114</v>
      </c>
      <c r="M588" s="1">
        <v>0</v>
      </c>
      <c r="N588" s="1">
        <v>0</v>
      </c>
      <c r="O588" t="s">
        <v>1196</v>
      </c>
      <c r="P588" t="s">
        <v>26</v>
      </c>
    </row>
    <row r="589" spans="1:16" x14ac:dyDescent="0.2">
      <c r="A589" t="s">
        <v>114</v>
      </c>
      <c r="B589" t="s">
        <v>1342</v>
      </c>
      <c r="C589" t="s">
        <v>52</v>
      </c>
      <c r="D589" t="s">
        <v>1349</v>
      </c>
      <c r="E589" t="s">
        <v>44</v>
      </c>
      <c r="F589" t="s">
        <v>1344</v>
      </c>
      <c r="G589" t="s">
        <v>1345</v>
      </c>
      <c r="H589" s="1">
        <v>52433.4</v>
      </c>
      <c r="I589" t="s">
        <v>1311</v>
      </c>
      <c r="J589" t="s">
        <v>120</v>
      </c>
      <c r="L589" t="s">
        <v>114</v>
      </c>
      <c r="M589" s="1">
        <v>0</v>
      </c>
      <c r="N589" s="1">
        <v>0</v>
      </c>
      <c r="O589" t="s">
        <v>1196</v>
      </c>
      <c r="P589" t="s">
        <v>26</v>
      </c>
    </row>
    <row r="590" spans="1:16" x14ac:dyDescent="0.2">
      <c r="A590" t="s">
        <v>114</v>
      </c>
      <c r="B590" t="s">
        <v>1342</v>
      </c>
      <c r="C590" t="s">
        <v>154</v>
      </c>
      <c r="D590" t="s">
        <v>1350</v>
      </c>
      <c r="E590" t="s">
        <v>128</v>
      </c>
      <c r="F590" t="s">
        <v>1344</v>
      </c>
      <c r="G590" t="s">
        <v>1345</v>
      </c>
      <c r="H590" s="1">
        <v>12685.5</v>
      </c>
      <c r="I590" t="s">
        <v>1351</v>
      </c>
      <c r="J590" t="s">
        <v>120</v>
      </c>
      <c r="L590" t="s">
        <v>114</v>
      </c>
      <c r="M590" s="1">
        <v>0</v>
      </c>
      <c r="N590" s="1">
        <v>0</v>
      </c>
      <c r="O590" t="s">
        <v>1196</v>
      </c>
      <c r="P590" t="s">
        <v>26</v>
      </c>
    </row>
    <row r="591" spans="1:16" x14ac:dyDescent="0.2">
      <c r="A591" t="s">
        <v>114</v>
      </c>
      <c r="B591" t="s">
        <v>1342</v>
      </c>
      <c r="C591" t="s">
        <v>288</v>
      </c>
      <c r="D591" t="s">
        <v>1352</v>
      </c>
      <c r="E591" t="s">
        <v>96</v>
      </c>
      <c r="F591" t="s">
        <v>1344</v>
      </c>
      <c r="G591" t="s">
        <v>1345</v>
      </c>
      <c r="H591" s="1">
        <v>25371</v>
      </c>
      <c r="I591" t="s">
        <v>1319</v>
      </c>
      <c r="J591" t="s">
        <v>120</v>
      </c>
      <c r="L591" t="s">
        <v>114</v>
      </c>
      <c r="M591" s="1">
        <v>0</v>
      </c>
      <c r="N591" s="1">
        <v>0</v>
      </c>
      <c r="O591" t="s">
        <v>1196</v>
      </c>
      <c r="P591" t="s">
        <v>26</v>
      </c>
    </row>
    <row r="592" spans="1:16" x14ac:dyDescent="0.2">
      <c r="A592" t="s">
        <v>114</v>
      </c>
      <c r="B592" t="s">
        <v>1353</v>
      </c>
      <c r="C592" t="s">
        <v>180</v>
      </c>
      <c r="D592" t="s">
        <v>1354</v>
      </c>
      <c r="E592" t="s">
        <v>96</v>
      </c>
      <c r="F592" t="s">
        <v>1355</v>
      </c>
      <c r="G592" t="s">
        <v>1356</v>
      </c>
      <c r="H592" s="1">
        <v>29089.5</v>
      </c>
      <c r="I592" t="s">
        <v>1261</v>
      </c>
      <c r="J592" t="s">
        <v>120</v>
      </c>
      <c r="L592" t="s">
        <v>114</v>
      </c>
      <c r="M592" s="1">
        <v>0</v>
      </c>
      <c r="N592" s="1">
        <v>0</v>
      </c>
      <c r="O592" t="s">
        <v>1196</v>
      </c>
      <c r="P592" t="s">
        <v>26</v>
      </c>
    </row>
    <row r="593" spans="1:16" x14ac:dyDescent="0.2">
      <c r="A593" t="s">
        <v>114</v>
      </c>
      <c r="B593" t="s">
        <v>1357</v>
      </c>
      <c r="C593" t="s">
        <v>738</v>
      </c>
      <c r="D593" t="s">
        <v>1358</v>
      </c>
      <c r="E593" t="s">
        <v>192</v>
      </c>
      <c r="F593" t="s">
        <v>45</v>
      </c>
      <c r="G593" t="s">
        <v>46</v>
      </c>
      <c r="H593" s="1">
        <v>15000</v>
      </c>
      <c r="I593" t="s">
        <v>1272</v>
      </c>
      <c r="J593" t="s">
        <v>23</v>
      </c>
      <c r="L593" t="s">
        <v>48</v>
      </c>
      <c r="M593" s="1">
        <v>0</v>
      </c>
      <c r="N593" s="1">
        <v>0</v>
      </c>
      <c r="O593" t="s">
        <v>1196</v>
      </c>
      <c r="P593" t="s">
        <v>26</v>
      </c>
    </row>
    <row r="594" spans="1:16" x14ac:dyDescent="0.2">
      <c r="A594" t="s">
        <v>114</v>
      </c>
      <c r="B594" t="s">
        <v>1357</v>
      </c>
      <c r="C594" t="s">
        <v>853</v>
      </c>
      <c r="D594" t="s">
        <v>1359</v>
      </c>
      <c r="E594" t="s">
        <v>38</v>
      </c>
      <c r="F594" t="s">
        <v>1360</v>
      </c>
      <c r="G594" t="s">
        <v>1361</v>
      </c>
      <c r="H594" s="1">
        <v>12495</v>
      </c>
      <c r="I594" t="s">
        <v>1289</v>
      </c>
      <c r="J594" t="s">
        <v>120</v>
      </c>
      <c r="L594" t="s">
        <v>114</v>
      </c>
      <c r="M594" s="1">
        <v>0</v>
      </c>
      <c r="N594" s="1">
        <v>0</v>
      </c>
      <c r="O594" t="s">
        <v>1196</v>
      </c>
      <c r="P594" t="s">
        <v>26</v>
      </c>
    </row>
    <row r="595" spans="1:16" x14ac:dyDescent="0.2">
      <c r="A595" t="s">
        <v>114</v>
      </c>
      <c r="B595" t="s">
        <v>1357</v>
      </c>
      <c r="C595" t="s">
        <v>680</v>
      </c>
      <c r="D595" t="s">
        <v>1362</v>
      </c>
      <c r="E595" t="s">
        <v>38</v>
      </c>
      <c r="F595" t="s">
        <v>45</v>
      </c>
      <c r="G595" t="s">
        <v>46</v>
      </c>
      <c r="H595" s="1">
        <v>30000</v>
      </c>
      <c r="I595" t="s">
        <v>841</v>
      </c>
      <c r="J595" t="s">
        <v>23</v>
      </c>
      <c r="L595" t="s">
        <v>48</v>
      </c>
      <c r="M595" s="1">
        <v>0</v>
      </c>
      <c r="N595" s="1">
        <v>0</v>
      </c>
      <c r="O595" t="s">
        <v>1196</v>
      </c>
      <c r="P595" t="s">
        <v>26</v>
      </c>
    </row>
    <row r="596" spans="1:16" x14ac:dyDescent="0.2">
      <c r="A596" t="s">
        <v>114</v>
      </c>
      <c r="B596" t="s">
        <v>1357</v>
      </c>
      <c r="C596" t="s">
        <v>432</v>
      </c>
      <c r="D596" t="s">
        <v>1363</v>
      </c>
      <c r="E596" t="s">
        <v>71</v>
      </c>
      <c r="F596" t="s">
        <v>1360</v>
      </c>
      <c r="G596" t="s">
        <v>1361</v>
      </c>
      <c r="H596" s="1">
        <v>22408</v>
      </c>
      <c r="I596" t="s">
        <v>1272</v>
      </c>
      <c r="J596" t="s">
        <v>120</v>
      </c>
      <c r="L596" t="s">
        <v>114</v>
      </c>
      <c r="M596" s="1">
        <v>0</v>
      </c>
      <c r="N596" s="1">
        <v>0</v>
      </c>
      <c r="O596" t="s">
        <v>1196</v>
      </c>
      <c r="P596" t="s">
        <v>26</v>
      </c>
    </row>
    <row r="597" spans="1:16" x14ac:dyDescent="0.2">
      <c r="A597" t="s">
        <v>114</v>
      </c>
      <c r="B597" t="s">
        <v>1357</v>
      </c>
      <c r="C597" t="s">
        <v>793</v>
      </c>
      <c r="D597" t="s">
        <v>1364</v>
      </c>
      <c r="E597" t="s">
        <v>71</v>
      </c>
      <c r="F597" t="s">
        <v>1360</v>
      </c>
      <c r="G597" t="s">
        <v>1361</v>
      </c>
      <c r="H597" s="1">
        <v>23640.400000000001</v>
      </c>
      <c r="I597" t="s">
        <v>769</v>
      </c>
      <c r="J597" t="s">
        <v>120</v>
      </c>
      <c r="L597" t="s">
        <v>114</v>
      </c>
      <c r="M597" s="1">
        <v>0</v>
      </c>
      <c r="N597" s="1">
        <v>0</v>
      </c>
      <c r="O597" t="s">
        <v>1196</v>
      </c>
      <c r="P597" t="s">
        <v>26</v>
      </c>
    </row>
    <row r="598" spans="1:16" x14ac:dyDescent="0.2">
      <c r="A598" t="s">
        <v>114</v>
      </c>
      <c r="B598" t="s">
        <v>1357</v>
      </c>
      <c r="C598" t="s">
        <v>796</v>
      </c>
      <c r="D598" t="s">
        <v>1365</v>
      </c>
      <c r="E598" t="s">
        <v>71</v>
      </c>
      <c r="F598" t="s">
        <v>1360</v>
      </c>
      <c r="G598" t="s">
        <v>1361</v>
      </c>
      <c r="H598" s="1">
        <v>24648.799999999999</v>
      </c>
      <c r="I598" t="s">
        <v>1275</v>
      </c>
      <c r="J598" t="s">
        <v>120</v>
      </c>
      <c r="L598" t="s">
        <v>114</v>
      </c>
      <c r="M598" s="1">
        <v>0</v>
      </c>
      <c r="N598" s="1">
        <v>0</v>
      </c>
      <c r="O598" t="s">
        <v>1196</v>
      </c>
      <c r="P598" t="s">
        <v>26</v>
      </c>
    </row>
    <row r="599" spans="1:16" x14ac:dyDescent="0.2">
      <c r="A599" t="s">
        <v>114</v>
      </c>
      <c r="B599" t="s">
        <v>1357</v>
      </c>
      <c r="C599" t="s">
        <v>154</v>
      </c>
      <c r="D599" t="s">
        <v>1366</v>
      </c>
      <c r="E599" t="s">
        <v>128</v>
      </c>
      <c r="F599" t="s">
        <v>1360</v>
      </c>
      <c r="G599" t="s">
        <v>1361</v>
      </c>
      <c r="H599" s="1">
        <v>23528.400000000001</v>
      </c>
      <c r="I599" t="s">
        <v>1275</v>
      </c>
      <c r="J599" t="s">
        <v>120</v>
      </c>
      <c r="L599" t="s">
        <v>114</v>
      </c>
      <c r="M599" s="1">
        <v>0</v>
      </c>
      <c r="N599" s="1">
        <v>0</v>
      </c>
      <c r="O599" t="s">
        <v>1196</v>
      </c>
      <c r="P599" t="s">
        <v>26</v>
      </c>
    </row>
    <row r="600" spans="1:16" x14ac:dyDescent="0.2">
      <c r="A600" t="s">
        <v>114</v>
      </c>
      <c r="B600" t="s">
        <v>1357</v>
      </c>
      <c r="C600" t="s">
        <v>280</v>
      </c>
      <c r="D600" t="s">
        <v>1367</v>
      </c>
      <c r="E600" t="s">
        <v>96</v>
      </c>
      <c r="F600" t="s">
        <v>1360</v>
      </c>
      <c r="G600" t="s">
        <v>1361</v>
      </c>
      <c r="H600" s="1">
        <v>16806</v>
      </c>
      <c r="I600" t="s">
        <v>1060</v>
      </c>
      <c r="J600" t="s">
        <v>120</v>
      </c>
      <c r="L600" t="s">
        <v>114</v>
      </c>
      <c r="M600" s="1">
        <v>0</v>
      </c>
      <c r="N600" s="1">
        <v>0</v>
      </c>
      <c r="O600" t="s">
        <v>1196</v>
      </c>
      <c r="P600" t="s">
        <v>26</v>
      </c>
    </row>
    <row r="601" spans="1:16" x14ac:dyDescent="0.2">
      <c r="A601" t="s">
        <v>114</v>
      </c>
      <c r="B601" t="s">
        <v>1368</v>
      </c>
      <c r="C601" t="s">
        <v>1298</v>
      </c>
      <c r="D601" t="s">
        <v>1369</v>
      </c>
      <c r="E601" t="s">
        <v>67</v>
      </c>
      <c r="F601" t="s">
        <v>1370</v>
      </c>
      <c r="G601" t="s">
        <v>1371</v>
      </c>
      <c r="H601" s="1">
        <v>11603</v>
      </c>
      <c r="I601" t="s">
        <v>1372</v>
      </c>
      <c r="J601" t="s">
        <v>120</v>
      </c>
      <c r="L601" t="s">
        <v>114</v>
      </c>
      <c r="M601" s="1">
        <v>0</v>
      </c>
      <c r="N601" s="1">
        <v>0</v>
      </c>
      <c r="O601" t="s">
        <v>1196</v>
      </c>
      <c r="P601" t="s">
        <v>26</v>
      </c>
    </row>
    <row r="602" spans="1:16" x14ac:dyDescent="0.2">
      <c r="A602" t="s">
        <v>114</v>
      </c>
      <c r="B602" t="s">
        <v>1368</v>
      </c>
      <c r="C602" t="s">
        <v>442</v>
      </c>
      <c r="D602" t="s">
        <v>1373</v>
      </c>
      <c r="E602" t="s">
        <v>71</v>
      </c>
      <c r="F602" t="s">
        <v>1370</v>
      </c>
      <c r="G602" t="s">
        <v>1371</v>
      </c>
      <c r="H602" s="1">
        <v>17404.5</v>
      </c>
      <c r="I602" t="s">
        <v>769</v>
      </c>
      <c r="J602" t="s">
        <v>120</v>
      </c>
      <c r="L602" t="s">
        <v>114</v>
      </c>
      <c r="M602" s="1">
        <v>0</v>
      </c>
      <c r="N602" s="1">
        <v>0</v>
      </c>
      <c r="O602" t="s">
        <v>1196</v>
      </c>
      <c r="P602" t="s">
        <v>26</v>
      </c>
    </row>
    <row r="603" spans="1:16" x14ac:dyDescent="0.2">
      <c r="A603" t="s">
        <v>114</v>
      </c>
      <c r="B603" t="s">
        <v>1368</v>
      </c>
      <c r="C603" t="s">
        <v>812</v>
      </c>
      <c r="D603" t="s">
        <v>1374</v>
      </c>
      <c r="E603" t="s">
        <v>96</v>
      </c>
      <c r="F603" t="s">
        <v>1370</v>
      </c>
      <c r="G603" t="s">
        <v>1371</v>
      </c>
      <c r="H603" s="1">
        <v>11603</v>
      </c>
      <c r="I603" t="s">
        <v>769</v>
      </c>
      <c r="J603" t="s">
        <v>120</v>
      </c>
      <c r="L603" t="s">
        <v>114</v>
      </c>
      <c r="M603" s="1">
        <v>0</v>
      </c>
      <c r="N603" s="1">
        <v>0</v>
      </c>
      <c r="O603" t="s">
        <v>1196</v>
      </c>
      <c r="P603" t="s">
        <v>26</v>
      </c>
    </row>
    <row r="604" spans="1:16" x14ac:dyDescent="0.2">
      <c r="A604" t="s">
        <v>114</v>
      </c>
      <c r="B604" t="s">
        <v>1375</v>
      </c>
      <c r="C604" t="s">
        <v>738</v>
      </c>
      <c r="D604" t="s">
        <v>1376</v>
      </c>
      <c r="E604" t="s">
        <v>192</v>
      </c>
      <c r="F604" t="s">
        <v>45</v>
      </c>
      <c r="G604" t="s">
        <v>46</v>
      </c>
      <c r="H604" s="1">
        <v>25000</v>
      </c>
      <c r="I604" t="s">
        <v>1272</v>
      </c>
      <c r="J604" t="s">
        <v>23</v>
      </c>
      <c r="L604" t="s">
        <v>48</v>
      </c>
      <c r="M604" s="1">
        <v>0</v>
      </c>
      <c r="N604" s="1">
        <v>0</v>
      </c>
      <c r="O604" t="s">
        <v>1196</v>
      </c>
      <c r="P604" t="s">
        <v>26</v>
      </c>
    </row>
    <row r="605" spans="1:16" x14ac:dyDescent="0.2">
      <c r="A605" t="s">
        <v>114</v>
      </c>
      <c r="B605" t="s">
        <v>1375</v>
      </c>
      <c r="C605" t="s">
        <v>680</v>
      </c>
      <c r="D605" t="s">
        <v>1377</v>
      </c>
      <c r="E605" t="s">
        <v>38</v>
      </c>
      <c r="F605" t="s">
        <v>45</v>
      </c>
      <c r="G605" t="s">
        <v>46</v>
      </c>
      <c r="H605" s="1">
        <v>16000</v>
      </c>
      <c r="I605" t="s">
        <v>841</v>
      </c>
      <c r="J605" t="s">
        <v>23</v>
      </c>
      <c r="L605" t="s">
        <v>48</v>
      </c>
      <c r="M605" s="1">
        <v>0</v>
      </c>
      <c r="N605" s="1">
        <v>0</v>
      </c>
      <c r="O605" t="s">
        <v>1196</v>
      </c>
      <c r="P605" t="s">
        <v>26</v>
      </c>
    </row>
    <row r="606" spans="1:16" x14ac:dyDescent="0.2">
      <c r="A606" t="s">
        <v>114</v>
      </c>
      <c r="B606" t="s">
        <v>1375</v>
      </c>
      <c r="C606" t="s">
        <v>442</v>
      </c>
      <c r="D606" t="s">
        <v>1378</v>
      </c>
      <c r="E606" t="s">
        <v>71</v>
      </c>
      <c r="F606" t="s">
        <v>1379</v>
      </c>
      <c r="G606" t="s">
        <v>1380</v>
      </c>
      <c r="H606" s="1">
        <v>12542</v>
      </c>
      <c r="I606" t="s">
        <v>769</v>
      </c>
      <c r="J606" t="s">
        <v>120</v>
      </c>
      <c r="L606" t="s">
        <v>114</v>
      </c>
      <c r="M606" s="1">
        <v>0</v>
      </c>
      <c r="N606" s="1">
        <v>0</v>
      </c>
      <c r="O606" t="s">
        <v>1196</v>
      </c>
      <c r="P606" t="s">
        <v>26</v>
      </c>
    </row>
    <row r="607" spans="1:16" x14ac:dyDescent="0.2">
      <c r="A607" t="s">
        <v>114</v>
      </c>
      <c r="B607" t="s">
        <v>1375</v>
      </c>
      <c r="C607" t="s">
        <v>447</v>
      </c>
      <c r="D607" t="s">
        <v>1381</v>
      </c>
      <c r="E607" t="s">
        <v>71</v>
      </c>
      <c r="F607" t="s">
        <v>1379</v>
      </c>
      <c r="G607" t="s">
        <v>1380</v>
      </c>
      <c r="H607" s="1">
        <v>25084</v>
      </c>
      <c r="I607" t="s">
        <v>1275</v>
      </c>
      <c r="J607" t="s">
        <v>120</v>
      </c>
      <c r="L607" t="s">
        <v>114</v>
      </c>
      <c r="M607" s="1">
        <v>0</v>
      </c>
      <c r="N607" s="1">
        <v>0</v>
      </c>
      <c r="O607" t="s">
        <v>1196</v>
      </c>
      <c r="P607" t="s">
        <v>26</v>
      </c>
    </row>
    <row r="608" spans="1:16" x14ac:dyDescent="0.2">
      <c r="A608" t="s">
        <v>114</v>
      </c>
      <c r="B608" t="s">
        <v>1375</v>
      </c>
      <c r="C608" t="s">
        <v>798</v>
      </c>
      <c r="D608" t="s">
        <v>1382</v>
      </c>
      <c r="E608" t="s">
        <v>44</v>
      </c>
      <c r="F608" t="s">
        <v>1379</v>
      </c>
      <c r="G608" t="s">
        <v>1380</v>
      </c>
      <c r="H608" s="1">
        <v>18813</v>
      </c>
      <c r="I608" t="s">
        <v>1383</v>
      </c>
      <c r="J608" t="s">
        <v>120</v>
      </c>
      <c r="L608" t="s">
        <v>114</v>
      </c>
      <c r="M608" s="1">
        <v>0</v>
      </c>
      <c r="N608" s="1">
        <v>0</v>
      </c>
      <c r="O608" t="s">
        <v>1196</v>
      </c>
      <c r="P608" t="s">
        <v>26</v>
      </c>
    </row>
    <row r="609" spans="1:16" x14ac:dyDescent="0.2">
      <c r="A609" t="s">
        <v>114</v>
      </c>
      <c r="B609" t="s">
        <v>1375</v>
      </c>
      <c r="C609" t="s">
        <v>220</v>
      </c>
      <c r="D609" t="s">
        <v>1384</v>
      </c>
      <c r="E609" t="s">
        <v>128</v>
      </c>
      <c r="F609" t="s">
        <v>1379</v>
      </c>
      <c r="G609" t="s">
        <v>1380</v>
      </c>
      <c r="H609" s="1">
        <v>10033.6</v>
      </c>
      <c r="I609" t="s">
        <v>1385</v>
      </c>
      <c r="J609" t="s">
        <v>120</v>
      </c>
      <c r="L609" t="s">
        <v>114</v>
      </c>
      <c r="M609" s="1">
        <v>0</v>
      </c>
      <c r="N609" s="1">
        <v>0</v>
      </c>
      <c r="O609" t="s">
        <v>1196</v>
      </c>
      <c r="P609" t="s">
        <v>26</v>
      </c>
    </row>
    <row r="610" spans="1:16" x14ac:dyDescent="0.2">
      <c r="A610" t="s">
        <v>114</v>
      </c>
      <c r="B610" t="s">
        <v>1375</v>
      </c>
      <c r="C610" t="s">
        <v>812</v>
      </c>
      <c r="D610" t="s">
        <v>1386</v>
      </c>
      <c r="E610" t="s">
        <v>96</v>
      </c>
      <c r="F610" t="s">
        <v>1379</v>
      </c>
      <c r="G610" t="s">
        <v>1380</v>
      </c>
      <c r="H610" s="1">
        <v>25084</v>
      </c>
      <c r="I610" t="s">
        <v>769</v>
      </c>
      <c r="J610" t="s">
        <v>120</v>
      </c>
      <c r="L610" t="s">
        <v>114</v>
      </c>
      <c r="M610" s="1">
        <v>0</v>
      </c>
      <c r="N610" s="1">
        <v>0</v>
      </c>
      <c r="O610" t="s">
        <v>1196</v>
      </c>
      <c r="P610" t="s">
        <v>26</v>
      </c>
    </row>
    <row r="611" spans="1:16" x14ac:dyDescent="0.2">
      <c r="A611" t="s">
        <v>114</v>
      </c>
      <c r="B611" t="s">
        <v>1375</v>
      </c>
      <c r="C611" t="s">
        <v>529</v>
      </c>
      <c r="D611" t="s">
        <v>1387</v>
      </c>
      <c r="E611" t="s">
        <v>96</v>
      </c>
      <c r="F611" t="s">
        <v>1379</v>
      </c>
      <c r="G611" t="s">
        <v>1380</v>
      </c>
      <c r="H611" s="1">
        <v>18813</v>
      </c>
      <c r="I611" t="s">
        <v>769</v>
      </c>
      <c r="J611" t="s">
        <v>120</v>
      </c>
      <c r="L611" t="s">
        <v>114</v>
      </c>
      <c r="M611" s="1">
        <v>0</v>
      </c>
      <c r="N611" s="1">
        <v>0</v>
      </c>
      <c r="O611" t="s">
        <v>1196</v>
      </c>
      <c r="P611" t="s">
        <v>26</v>
      </c>
    </row>
    <row r="612" spans="1:16" x14ac:dyDescent="0.2">
      <c r="A612" t="s">
        <v>114</v>
      </c>
      <c r="B612" t="s">
        <v>1375</v>
      </c>
      <c r="C612" t="s">
        <v>280</v>
      </c>
      <c r="D612" t="s">
        <v>1388</v>
      </c>
      <c r="E612" t="s">
        <v>96</v>
      </c>
      <c r="F612" t="s">
        <v>1379</v>
      </c>
      <c r="G612" t="s">
        <v>1380</v>
      </c>
      <c r="H612" s="1">
        <v>37626</v>
      </c>
      <c r="I612" t="s">
        <v>1389</v>
      </c>
      <c r="J612" t="s">
        <v>120</v>
      </c>
      <c r="L612" t="s">
        <v>114</v>
      </c>
      <c r="M612" s="1">
        <v>0</v>
      </c>
      <c r="N612" s="1">
        <v>0</v>
      </c>
      <c r="O612" t="s">
        <v>1196</v>
      </c>
      <c r="P612" t="s">
        <v>26</v>
      </c>
    </row>
    <row r="613" spans="1:16" x14ac:dyDescent="0.2">
      <c r="A613" t="s">
        <v>114</v>
      </c>
      <c r="B613" t="s">
        <v>1375</v>
      </c>
      <c r="C613" t="s">
        <v>1390</v>
      </c>
      <c r="D613" t="s">
        <v>1391</v>
      </c>
      <c r="E613" t="s">
        <v>96</v>
      </c>
      <c r="F613" t="s">
        <v>1379</v>
      </c>
      <c r="G613" t="s">
        <v>1380</v>
      </c>
      <c r="H613" s="1">
        <v>26714.5</v>
      </c>
      <c r="I613" t="s">
        <v>959</v>
      </c>
      <c r="J613" t="s">
        <v>120</v>
      </c>
      <c r="L613" t="s">
        <v>114</v>
      </c>
      <c r="M613" s="1">
        <v>0</v>
      </c>
      <c r="N613" s="1">
        <v>0</v>
      </c>
      <c r="O613" t="s">
        <v>1196</v>
      </c>
      <c r="P613" t="s">
        <v>26</v>
      </c>
    </row>
    <row r="614" spans="1:16" x14ac:dyDescent="0.2">
      <c r="A614" t="s">
        <v>114</v>
      </c>
      <c r="B614" t="s">
        <v>1392</v>
      </c>
      <c r="C614" t="s">
        <v>280</v>
      </c>
      <c r="D614" t="s">
        <v>1393</v>
      </c>
      <c r="E614" t="s">
        <v>96</v>
      </c>
      <c r="F614" t="s">
        <v>1394</v>
      </c>
      <c r="G614" t="s">
        <v>1395</v>
      </c>
      <c r="H614" s="1">
        <v>24730.5</v>
      </c>
      <c r="I614" t="s">
        <v>1060</v>
      </c>
      <c r="J614" t="s">
        <v>120</v>
      </c>
      <c r="L614" t="s">
        <v>114</v>
      </c>
      <c r="M614" s="1">
        <v>0</v>
      </c>
      <c r="N614" s="1">
        <v>0</v>
      </c>
      <c r="O614" t="s">
        <v>1196</v>
      </c>
      <c r="P614" t="s">
        <v>26</v>
      </c>
    </row>
    <row r="615" spans="1:16" x14ac:dyDescent="0.2">
      <c r="A615" t="s">
        <v>114</v>
      </c>
      <c r="B615" t="s">
        <v>182</v>
      </c>
      <c r="C615" t="s">
        <v>1396</v>
      </c>
      <c r="D615" t="s">
        <v>1397</v>
      </c>
      <c r="E615" t="s">
        <v>96</v>
      </c>
      <c r="F615" t="s">
        <v>185</v>
      </c>
      <c r="G615" t="s">
        <v>186</v>
      </c>
      <c r="H615" s="1">
        <v>38817</v>
      </c>
      <c r="I615" t="s">
        <v>654</v>
      </c>
      <c r="J615" t="s">
        <v>120</v>
      </c>
      <c r="L615" t="s">
        <v>114</v>
      </c>
      <c r="M615" s="1">
        <v>0</v>
      </c>
      <c r="N615" s="1">
        <v>0</v>
      </c>
      <c r="O615" t="s">
        <v>120</v>
      </c>
      <c r="P615" t="s">
        <v>26</v>
      </c>
    </row>
    <row r="616" spans="1:16" x14ac:dyDescent="0.2">
      <c r="A616" t="s">
        <v>114</v>
      </c>
      <c r="B616" t="s">
        <v>114</v>
      </c>
      <c r="C616" t="s">
        <v>95</v>
      </c>
      <c r="D616" t="s">
        <v>1398</v>
      </c>
      <c r="E616" t="s">
        <v>96</v>
      </c>
      <c r="F616" t="s">
        <v>45</v>
      </c>
      <c r="G616" t="s">
        <v>46</v>
      </c>
      <c r="H616" s="1">
        <v>200000</v>
      </c>
      <c r="I616" t="s">
        <v>1399</v>
      </c>
      <c r="J616" t="s">
        <v>23</v>
      </c>
      <c r="L616" t="s">
        <v>48</v>
      </c>
      <c r="M616" s="1">
        <v>0</v>
      </c>
      <c r="N616" s="1">
        <v>0</v>
      </c>
      <c r="O616" t="s">
        <v>121</v>
      </c>
      <c r="P616" t="s">
        <v>26</v>
      </c>
    </row>
    <row r="617" spans="1:16" x14ac:dyDescent="0.2">
      <c r="A617" t="s">
        <v>114</v>
      </c>
      <c r="B617" t="s">
        <v>1400</v>
      </c>
      <c r="C617" t="s">
        <v>798</v>
      </c>
      <c r="D617" t="s">
        <v>1401</v>
      </c>
      <c r="E617" t="s">
        <v>44</v>
      </c>
      <c r="F617" t="s">
        <v>1402</v>
      </c>
      <c r="G617" t="s">
        <v>1403</v>
      </c>
      <c r="H617" s="1">
        <v>67010.7</v>
      </c>
      <c r="I617" t="s">
        <v>1404</v>
      </c>
      <c r="J617" t="s">
        <v>487</v>
      </c>
      <c r="L617" t="s">
        <v>114</v>
      </c>
      <c r="M617" s="1">
        <v>0</v>
      </c>
      <c r="N617" s="1">
        <v>0</v>
      </c>
      <c r="O617" t="s">
        <v>1405</v>
      </c>
      <c r="P617" t="s">
        <v>26</v>
      </c>
    </row>
    <row r="618" spans="1:16" x14ac:dyDescent="0.2">
      <c r="A618" t="s">
        <v>114</v>
      </c>
      <c r="B618" t="s">
        <v>1400</v>
      </c>
      <c r="C618" t="s">
        <v>220</v>
      </c>
      <c r="D618" t="s">
        <v>1406</v>
      </c>
      <c r="E618" t="s">
        <v>128</v>
      </c>
      <c r="F618" t="s">
        <v>1402</v>
      </c>
      <c r="G618" t="s">
        <v>1403</v>
      </c>
      <c r="H618" s="1">
        <v>39844.199999999997</v>
      </c>
      <c r="I618" t="s">
        <v>1407</v>
      </c>
      <c r="J618" t="s">
        <v>487</v>
      </c>
      <c r="L618" t="s">
        <v>114</v>
      </c>
      <c r="M618" s="1">
        <v>0</v>
      </c>
      <c r="N618" s="1">
        <v>0</v>
      </c>
      <c r="O618" t="s">
        <v>1405</v>
      </c>
      <c r="P618" t="s">
        <v>26</v>
      </c>
    </row>
    <row r="619" spans="1:16" x14ac:dyDescent="0.2">
      <c r="A619" t="s">
        <v>114</v>
      </c>
      <c r="B619" t="s">
        <v>1400</v>
      </c>
      <c r="C619" t="s">
        <v>154</v>
      </c>
      <c r="D619" t="s">
        <v>1408</v>
      </c>
      <c r="E619" t="s">
        <v>128</v>
      </c>
      <c r="F619" t="s">
        <v>1402</v>
      </c>
      <c r="G619" t="s">
        <v>1403</v>
      </c>
      <c r="H619" s="1">
        <v>43466.400000000001</v>
      </c>
      <c r="I619" t="s">
        <v>1409</v>
      </c>
      <c r="J619" t="s">
        <v>487</v>
      </c>
      <c r="L619" t="s">
        <v>114</v>
      </c>
      <c r="M619" s="1">
        <v>0</v>
      </c>
      <c r="N619" s="1">
        <v>0</v>
      </c>
      <c r="O619" t="s">
        <v>1405</v>
      </c>
      <c r="P619" t="s">
        <v>26</v>
      </c>
    </row>
    <row r="620" spans="1:16" x14ac:dyDescent="0.2">
      <c r="A620" t="s">
        <v>114</v>
      </c>
      <c r="B620" t="s">
        <v>1400</v>
      </c>
      <c r="C620" t="s">
        <v>1410</v>
      </c>
      <c r="D620" t="s">
        <v>1411</v>
      </c>
      <c r="E620" t="s">
        <v>128</v>
      </c>
      <c r="F620" t="s">
        <v>1402</v>
      </c>
      <c r="G620" t="s">
        <v>1403</v>
      </c>
      <c r="H620" s="1">
        <v>25355.4</v>
      </c>
      <c r="I620" t="s">
        <v>1412</v>
      </c>
      <c r="J620" t="s">
        <v>487</v>
      </c>
      <c r="L620" t="s">
        <v>114</v>
      </c>
      <c r="M620" s="1">
        <v>0</v>
      </c>
      <c r="N620" s="1">
        <v>0</v>
      </c>
      <c r="O620" t="s">
        <v>1405</v>
      </c>
      <c r="P620" t="s">
        <v>26</v>
      </c>
    </row>
    <row r="621" spans="1:16" x14ac:dyDescent="0.2">
      <c r="A621" t="s">
        <v>114</v>
      </c>
      <c r="B621" t="s">
        <v>1400</v>
      </c>
      <c r="C621" t="s">
        <v>712</v>
      </c>
      <c r="D621" t="s">
        <v>1413</v>
      </c>
      <c r="E621" t="s">
        <v>96</v>
      </c>
      <c r="F621" t="s">
        <v>1402</v>
      </c>
      <c r="G621" t="s">
        <v>1403</v>
      </c>
      <c r="H621" s="1">
        <v>11591</v>
      </c>
      <c r="I621" t="s">
        <v>1414</v>
      </c>
      <c r="J621" t="s">
        <v>487</v>
      </c>
      <c r="L621" t="s">
        <v>114</v>
      </c>
      <c r="M621" s="1">
        <v>0</v>
      </c>
      <c r="N621" s="1">
        <v>0</v>
      </c>
      <c r="O621" t="s">
        <v>1405</v>
      </c>
      <c r="P621" t="s">
        <v>26</v>
      </c>
    </row>
    <row r="622" spans="1:16" x14ac:dyDescent="0.2">
      <c r="A622" t="s">
        <v>114</v>
      </c>
      <c r="B622" t="s">
        <v>1400</v>
      </c>
      <c r="C622" t="s">
        <v>1415</v>
      </c>
      <c r="D622" t="s">
        <v>1416</v>
      </c>
      <c r="E622" t="s">
        <v>96</v>
      </c>
      <c r="F622" t="s">
        <v>1402</v>
      </c>
      <c r="G622" t="s">
        <v>1403</v>
      </c>
      <c r="H622" s="1">
        <v>13583.2</v>
      </c>
      <c r="I622" t="s">
        <v>1417</v>
      </c>
      <c r="J622" t="s">
        <v>487</v>
      </c>
      <c r="L622" t="s">
        <v>114</v>
      </c>
      <c r="M622" s="1">
        <v>0</v>
      </c>
      <c r="N622" s="1">
        <v>0</v>
      </c>
      <c r="O622" t="s">
        <v>1405</v>
      </c>
      <c r="P622" t="s">
        <v>26</v>
      </c>
    </row>
    <row r="623" spans="1:16" x14ac:dyDescent="0.2">
      <c r="A623" t="s">
        <v>114</v>
      </c>
      <c r="B623" t="s">
        <v>1400</v>
      </c>
      <c r="C623" t="s">
        <v>1290</v>
      </c>
      <c r="D623" t="s">
        <v>1418</v>
      </c>
      <c r="E623" t="s">
        <v>96</v>
      </c>
      <c r="F623" t="s">
        <v>1402</v>
      </c>
      <c r="G623" t="s">
        <v>1403</v>
      </c>
      <c r="H623" s="1">
        <v>31513.1</v>
      </c>
      <c r="I623" t="s">
        <v>1414</v>
      </c>
      <c r="J623" t="s">
        <v>487</v>
      </c>
      <c r="L623" t="s">
        <v>114</v>
      </c>
      <c r="M623" s="1">
        <v>0</v>
      </c>
      <c r="N623" s="1">
        <v>0</v>
      </c>
      <c r="O623" t="s">
        <v>1405</v>
      </c>
      <c r="P623" t="s">
        <v>26</v>
      </c>
    </row>
    <row r="624" spans="1:16" x14ac:dyDescent="0.2">
      <c r="A624" t="s">
        <v>114</v>
      </c>
      <c r="B624" t="s">
        <v>1400</v>
      </c>
      <c r="C624" t="s">
        <v>1211</v>
      </c>
      <c r="D624" t="s">
        <v>1419</v>
      </c>
      <c r="E624" t="s">
        <v>96</v>
      </c>
      <c r="F624" t="s">
        <v>1402</v>
      </c>
      <c r="G624" t="s">
        <v>1403</v>
      </c>
      <c r="H624" s="1">
        <v>16299.9</v>
      </c>
      <c r="I624" t="s">
        <v>1255</v>
      </c>
      <c r="J624" t="s">
        <v>487</v>
      </c>
      <c r="L624" t="s">
        <v>114</v>
      </c>
      <c r="M624" s="1">
        <v>0</v>
      </c>
      <c r="N624" s="1">
        <v>0</v>
      </c>
      <c r="O624" t="s">
        <v>1405</v>
      </c>
      <c r="P624" t="s">
        <v>26</v>
      </c>
    </row>
    <row r="625" spans="1:16" x14ac:dyDescent="0.2">
      <c r="A625" t="s">
        <v>114</v>
      </c>
      <c r="B625" t="s">
        <v>1400</v>
      </c>
      <c r="C625" t="s">
        <v>594</v>
      </c>
      <c r="D625" t="s">
        <v>1420</v>
      </c>
      <c r="E625" t="s">
        <v>96</v>
      </c>
      <c r="F625" t="s">
        <v>1402</v>
      </c>
      <c r="G625" t="s">
        <v>1403</v>
      </c>
      <c r="H625" s="1">
        <v>14851</v>
      </c>
      <c r="I625" t="s">
        <v>1421</v>
      </c>
      <c r="J625" t="s">
        <v>487</v>
      </c>
      <c r="L625" t="s">
        <v>114</v>
      </c>
      <c r="M625" s="1">
        <v>0</v>
      </c>
      <c r="N625" s="1">
        <v>0</v>
      </c>
      <c r="O625" t="s">
        <v>1405</v>
      </c>
      <c r="P625" t="s">
        <v>26</v>
      </c>
    </row>
    <row r="626" spans="1:16" x14ac:dyDescent="0.2">
      <c r="A626" t="s">
        <v>114</v>
      </c>
      <c r="B626" t="s">
        <v>1400</v>
      </c>
      <c r="C626" t="s">
        <v>568</v>
      </c>
      <c r="D626" t="s">
        <v>1422</v>
      </c>
      <c r="E626" t="s">
        <v>203</v>
      </c>
      <c r="F626" t="s">
        <v>1402</v>
      </c>
      <c r="G626" t="s">
        <v>1403</v>
      </c>
      <c r="H626" s="1">
        <v>17875</v>
      </c>
      <c r="I626" t="s">
        <v>1423</v>
      </c>
      <c r="J626" t="s">
        <v>487</v>
      </c>
      <c r="L626" t="s">
        <v>114</v>
      </c>
      <c r="M626" s="1">
        <v>0</v>
      </c>
      <c r="N626" s="1">
        <v>0</v>
      </c>
      <c r="O626" t="s">
        <v>1405</v>
      </c>
      <c r="P626" t="s">
        <v>26</v>
      </c>
    </row>
    <row r="627" spans="1:16" x14ac:dyDescent="0.2">
      <c r="A627" t="s">
        <v>114</v>
      </c>
      <c r="B627" t="s">
        <v>328</v>
      </c>
      <c r="C627" t="s">
        <v>71</v>
      </c>
      <c r="D627" t="s">
        <v>1424</v>
      </c>
      <c r="E627" t="s">
        <v>71</v>
      </c>
      <c r="F627" t="s">
        <v>1425</v>
      </c>
      <c r="G627" t="s">
        <v>1426</v>
      </c>
      <c r="H627" s="1">
        <v>26794.1</v>
      </c>
      <c r="I627" t="s">
        <v>1427</v>
      </c>
      <c r="J627" t="s">
        <v>120</v>
      </c>
      <c r="L627" t="s">
        <v>114</v>
      </c>
      <c r="M627" s="1">
        <v>0</v>
      </c>
      <c r="N627" s="1">
        <v>0</v>
      </c>
      <c r="O627" t="s">
        <v>121</v>
      </c>
      <c r="P627" t="s">
        <v>26</v>
      </c>
    </row>
    <row r="628" spans="1:16" x14ac:dyDescent="0.2">
      <c r="A628" t="s">
        <v>114</v>
      </c>
      <c r="B628" t="s">
        <v>115</v>
      </c>
      <c r="C628" t="s">
        <v>1428</v>
      </c>
      <c r="D628" t="s">
        <v>1429</v>
      </c>
      <c r="E628" t="s">
        <v>256</v>
      </c>
      <c r="F628" t="s">
        <v>1430</v>
      </c>
      <c r="G628" t="s">
        <v>1431</v>
      </c>
      <c r="H628" s="1">
        <v>31588.7</v>
      </c>
      <c r="I628" t="s">
        <v>1432</v>
      </c>
      <c r="J628" t="s">
        <v>120</v>
      </c>
      <c r="L628" t="s">
        <v>114</v>
      </c>
      <c r="M628" s="1">
        <v>0</v>
      </c>
      <c r="N628" s="1">
        <v>0</v>
      </c>
      <c r="O628" t="s">
        <v>121</v>
      </c>
      <c r="P628" t="s">
        <v>26</v>
      </c>
    </row>
    <row r="629" spans="1:16" x14ac:dyDescent="0.2">
      <c r="A629" t="s">
        <v>114</v>
      </c>
      <c r="B629" t="s">
        <v>115</v>
      </c>
      <c r="C629" t="s">
        <v>267</v>
      </c>
      <c r="D629" t="s">
        <v>1433</v>
      </c>
      <c r="E629" t="s">
        <v>67</v>
      </c>
      <c r="F629" t="s">
        <v>1430</v>
      </c>
      <c r="G629" t="s">
        <v>1431</v>
      </c>
      <c r="H629" s="1">
        <v>21171.200000000001</v>
      </c>
      <c r="I629" t="s">
        <v>1153</v>
      </c>
      <c r="J629" t="s">
        <v>120</v>
      </c>
      <c r="L629" t="s">
        <v>114</v>
      </c>
      <c r="M629" s="1">
        <v>0</v>
      </c>
      <c r="N629" s="1">
        <v>0</v>
      </c>
      <c r="O629" t="s">
        <v>121</v>
      </c>
      <c r="P629" t="s">
        <v>26</v>
      </c>
    </row>
    <row r="630" spans="1:16" x14ac:dyDescent="0.2">
      <c r="A630" t="s">
        <v>114</v>
      </c>
      <c r="B630" t="s">
        <v>115</v>
      </c>
      <c r="C630" t="s">
        <v>1298</v>
      </c>
      <c r="D630" t="s">
        <v>1434</v>
      </c>
      <c r="E630" t="s">
        <v>67</v>
      </c>
      <c r="F630" t="s">
        <v>1430</v>
      </c>
      <c r="G630" t="s">
        <v>1431</v>
      </c>
      <c r="H630" s="1">
        <v>21171.200000000001</v>
      </c>
      <c r="I630" t="s">
        <v>1372</v>
      </c>
      <c r="J630" t="s">
        <v>120</v>
      </c>
      <c r="L630" t="s">
        <v>114</v>
      </c>
      <c r="M630" s="1">
        <v>0</v>
      </c>
      <c r="N630" s="1">
        <v>0</v>
      </c>
      <c r="O630" t="s">
        <v>121</v>
      </c>
      <c r="P630" t="s">
        <v>26</v>
      </c>
    </row>
    <row r="631" spans="1:16" x14ac:dyDescent="0.2">
      <c r="A631" t="s">
        <v>114</v>
      </c>
      <c r="B631" t="s">
        <v>115</v>
      </c>
      <c r="C631" t="s">
        <v>349</v>
      </c>
      <c r="D631" t="s">
        <v>1435</v>
      </c>
      <c r="E631" t="s">
        <v>311</v>
      </c>
      <c r="F631" t="s">
        <v>1436</v>
      </c>
      <c r="G631" t="s">
        <v>1437</v>
      </c>
      <c r="H631" s="1">
        <v>19423.8</v>
      </c>
      <c r="I631" t="s">
        <v>631</v>
      </c>
      <c r="J631" t="s">
        <v>120</v>
      </c>
      <c r="L631" t="s">
        <v>114</v>
      </c>
      <c r="M631" s="1">
        <v>0</v>
      </c>
      <c r="N631" s="1">
        <v>0</v>
      </c>
      <c r="O631" t="s">
        <v>121</v>
      </c>
      <c r="P631" t="s">
        <v>26</v>
      </c>
    </row>
    <row r="632" spans="1:16" x14ac:dyDescent="0.2">
      <c r="A632" t="s">
        <v>114</v>
      </c>
      <c r="B632" t="s">
        <v>115</v>
      </c>
      <c r="C632" t="s">
        <v>71</v>
      </c>
      <c r="D632" t="s">
        <v>1438</v>
      </c>
      <c r="E632" t="s">
        <v>71</v>
      </c>
      <c r="F632" t="s">
        <v>1430</v>
      </c>
      <c r="G632" t="s">
        <v>1431</v>
      </c>
      <c r="H632" s="1">
        <v>36573</v>
      </c>
      <c r="I632" t="s">
        <v>1427</v>
      </c>
      <c r="J632" t="s">
        <v>120</v>
      </c>
      <c r="L632" t="s">
        <v>114</v>
      </c>
      <c r="M632" s="1">
        <v>0</v>
      </c>
      <c r="N632" s="1">
        <v>0</v>
      </c>
      <c r="O632" t="s">
        <v>121</v>
      </c>
      <c r="P632" t="s">
        <v>26</v>
      </c>
    </row>
    <row r="633" spans="1:16" x14ac:dyDescent="0.2">
      <c r="A633" t="s">
        <v>114</v>
      </c>
      <c r="B633" t="s">
        <v>115</v>
      </c>
      <c r="C633" t="s">
        <v>71</v>
      </c>
      <c r="D633" t="s">
        <v>1439</v>
      </c>
      <c r="E633" t="s">
        <v>71</v>
      </c>
      <c r="F633" t="s">
        <v>1440</v>
      </c>
      <c r="G633" t="s">
        <v>1441</v>
      </c>
      <c r="H633" s="1">
        <v>24612.2</v>
      </c>
      <c r="I633" t="s">
        <v>1323</v>
      </c>
      <c r="J633" t="s">
        <v>120</v>
      </c>
      <c r="L633" t="s">
        <v>114</v>
      </c>
      <c r="M633" s="1">
        <v>0</v>
      </c>
      <c r="N633" s="1">
        <v>0</v>
      </c>
      <c r="O633" t="s">
        <v>121</v>
      </c>
      <c r="P633" t="s">
        <v>26</v>
      </c>
    </row>
    <row r="634" spans="1:16" x14ac:dyDescent="0.2">
      <c r="A634" t="s">
        <v>114</v>
      </c>
      <c r="B634" t="s">
        <v>115</v>
      </c>
      <c r="C634" t="s">
        <v>71</v>
      </c>
      <c r="D634" t="s">
        <v>1442</v>
      </c>
      <c r="E634" t="s">
        <v>71</v>
      </c>
      <c r="F634" t="s">
        <v>290</v>
      </c>
      <c r="G634" t="s">
        <v>291</v>
      </c>
      <c r="H634" s="1">
        <v>40474.5</v>
      </c>
      <c r="I634" t="s">
        <v>1389</v>
      </c>
      <c r="J634" t="s">
        <v>120</v>
      </c>
      <c r="L634" t="s">
        <v>114</v>
      </c>
      <c r="M634" s="1">
        <v>0</v>
      </c>
      <c r="N634" s="1">
        <v>0</v>
      </c>
      <c r="O634" t="s">
        <v>121</v>
      </c>
      <c r="P634" t="s">
        <v>26</v>
      </c>
    </row>
    <row r="635" spans="1:16" x14ac:dyDescent="0.2">
      <c r="A635" t="s">
        <v>114</v>
      </c>
      <c r="B635" t="s">
        <v>115</v>
      </c>
      <c r="C635" t="s">
        <v>44</v>
      </c>
      <c r="D635" t="s">
        <v>1443</v>
      </c>
      <c r="E635" t="s">
        <v>44</v>
      </c>
      <c r="F635" t="s">
        <v>1430</v>
      </c>
      <c r="G635" t="s">
        <v>1431</v>
      </c>
      <c r="H635" s="1">
        <v>73146</v>
      </c>
      <c r="I635" t="s">
        <v>1444</v>
      </c>
      <c r="J635" t="s">
        <v>120</v>
      </c>
      <c r="L635" t="s">
        <v>114</v>
      </c>
      <c r="M635" s="1">
        <v>0</v>
      </c>
      <c r="N635" s="1">
        <v>0</v>
      </c>
      <c r="O635" t="s">
        <v>121</v>
      </c>
      <c r="P635" t="s">
        <v>26</v>
      </c>
    </row>
    <row r="636" spans="1:16" x14ac:dyDescent="0.2">
      <c r="A636" t="s">
        <v>114</v>
      </c>
      <c r="B636" t="s">
        <v>115</v>
      </c>
      <c r="C636" t="s">
        <v>44</v>
      </c>
      <c r="D636" t="s">
        <v>1445</v>
      </c>
      <c r="E636" t="s">
        <v>44</v>
      </c>
      <c r="F636" t="s">
        <v>1446</v>
      </c>
      <c r="G636" t="s">
        <v>1447</v>
      </c>
      <c r="H636" s="1">
        <v>57065</v>
      </c>
      <c r="I636" t="s">
        <v>1448</v>
      </c>
      <c r="J636" t="s">
        <v>120</v>
      </c>
      <c r="L636" t="s">
        <v>114</v>
      </c>
      <c r="M636" s="1">
        <v>0</v>
      </c>
      <c r="N636" s="1">
        <v>0</v>
      </c>
      <c r="O636" t="s">
        <v>121</v>
      </c>
      <c r="P636" t="s">
        <v>26</v>
      </c>
    </row>
    <row r="637" spans="1:16" x14ac:dyDescent="0.2">
      <c r="A637" t="s">
        <v>114</v>
      </c>
      <c r="B637" t="s">
        <v>115</v>
      </c>
      <c r="C637" t="s">
        <v>44</v>
      </c>
      <c r="D637" t="s">
        <v>1449</v>
      </c>
      <c r="E637" t="s">
        <v>44</v>
      </c>
      <c r="F637" t="s">
        <v>1450</v>
      </c>
      <c r="G637" t="s">
        <v>1451</v>
      </c>
      <c r="H637" s="1">
        <v>420062</v>
      </c>
      <c r="I637" t="s">
        <v>1452</v>
      </c>
      <c r="J637" t="s">
        <v>120</v>
      </c>
      <c r="L637" t="s">
        <v>114</v>
      </c>
      <c r="M637" s="1">
        <v>0</v>
      </c>
      <c r="N637" s="1">
        <v>0</v>
      </c>
      <c r="O637" t="s">
        <v>121</v>
      </c>
      <c r="P637" t="s">
        <v>26</v>
      </c>
    </row>
    <row r="638" spans="1:16" x14ac:dyDescent="0.2">
      <c r="A638" t="s">
        <v>114</v>
      </c>
      <c r="B638" t="s">
        <v>115</v>
      </c>
      <c r="C638" t="s">
        <v>1428</v>
      </c>
      <c r="D638" t="s">
        <v>1453</v>
      </c>
      <c r="E638" t="s">
        <v>96</v>
      </c>
      <c r="F638" t="s">
        <v>1440</v>
      </c>
      <c r="G638" t="s">
        <v>1441</v>
      </c>
      <c r="H638" s="1">
        <v>18288</v>
      </c>
      <c r="I638" t="s">
        <v>1454</v>
      </c>
      <c r="J638" t="s">
        <v>120</v>
      </c>
      <c r="L638" t="s">
        <v>114</v>
      </c>
      <c r="M638" s="1">
        <v>0</v>
      </c>
      <c r="N638" s="1">
        <v>0</v>
      </c>
      <c r="O638" t="s">
        <v>121</v>
      </c>
      <c r="P638" t="s">
        <v>26</v>
      </c>
    </row>
    <row r="639" spans="1:16" x14ac:dyDescent="0.2">
      <c r="A639" t="s">
        <v>114</v>
      </c>
      <c r="B639" t="s">
        <v>115</v>
      </c>
      <c r="C639" t="s">
        <v>653</v>
      </c>
      <c r="D639" t="s">
        <v>1455</v>
      </c>
      <c r="E639" t="s">
        <v>96</v>
      </c>
      <c r="F639" t="s">
        <v>117</v>
      </c>
      <c r="G639" t="s">
        <v>118</v>
      </c>
      <c r="H639" s="1">
        <v>14598</v>
      </c>
      <c r="I639" t="s">
        <v>654</v>
      </c>
      <c r="J639" t="s">
        <v>120</v>
      </c>
      <c r="L639" t="s">
        <v>114</v>
      </c>
      <c r="M639" s="1">
        <v>0</v>
      </c>
      <c r="N639" s="1">
        <v>0</v>
      </c>
      <c r="O639" t="s">
        <v>121</v>
      </c>
      <c r="P639" t="s">
        <v>26</v>
      </c>
    </row>
    <row r="640" spans="1:16" x14ac:dyDescent="0.2">
      <c r="A640" t="s">
        <v>114</v>
      </c>
      <c r="B640" t="s">
        <v>115</v>
      </c>
      <c r="C640" t="s">
        <v>812</v>
      </c>
      <c r="D640" t="s">
        <v>1456</v>
      </c>
      <c r="E640" t="s">
        <v>96</v>
      </c>
      <c r="F640" t="s">
        <v>1430</v>
      </c>
      <c r="G640" t="s">
        <v>1431</v>
      </c>
      <c r="H640" s="1">
        <v>57548.6</v>
      </c>
      <c r="I640" t="s">
        <v>952</v>
      </c>
      <c r="J640" t="s">
        <v>120</v>
      </c>
      <c r="L640" t="s">
        <v>114</v>
      </c>
      <c r="M640" s="1">
        <v>0</v>
      </c>
      <c r="N640" s="1">
        <v>0</v>
      </c>
      <c r="O640" t="s">
        <v>121</v>
      </c>
      <c r="P640" t="s">
        <v>26</v>
      </c>
    </row>
    <row r="641" spans="1:16" x14ac:dyDescent="0.2">
      <c r="A641" t="s">
        <v>114</v>
      </c>
      <c r="B641" t="s">
        <v>115</v>
      </c>
      <c r="C641" t="s">
        <v>575</v>
      </c>
      <c r="D641" t="s">
        <v>1457</v>
      </c>
      <c r="E641" t="s">
        <v>96</v>
      </c>
      <c r="F641" t="s">
        <v>1436</v>
      </c>
      <c r="G641" t="s">
        <v>1437</v>
      </c>
      <c r="H641" s="1">
        <v>19423.8</v>
      </c>
      <c r="I641" t="s">
        <v>1458</v>
      </c>
      <c r="J641" t="s">
        <v>120</v>
      </c>
      <c r="L641" t="s">
        <v>114</v>
      </c>
      <c r="M641" s="1">
        <v>0</v>
      </c>
      <c r="N641" s="1">
        <v>0</v>
      </c>
      <c r="O641" t="s">
        <v>121</v>
      </c>
      <c r="P641" t="s">
        <v>26</v>
      </c>
    </row>
    <row r="642" spans="1:16" x14ac:dyDescent="0.2">
      <c r="A642" t="s">
        <v>114</v>
      </c>
      <c r="B642" t="s">
        <v>115</v>
      </c>
      <c r="C642" t="s">
        <v>575</v>
      </c>
      <c r="D642" t="s">
        <v>1459</v>
      </c>
      <c r="E642" t="s">
        <v>96</v>
      </c>
      <c r="F642" t="s">
        <v>290</v>
      </c>
      <c r="G642" t="s">
        <v>291</v>
      </c>
      <c r="H642" s="1">
        <v>53966</v>
      </c>
      <c r="I642" t="s">
        <v>1460</v>
      </c>
      <c r="J642" t="s">
        <v>120</v>
      </c>
      <c r="L642" t="s">
        <v>114</v>
      </c>
      <c r="M642" s="1">
        <v>0</v>
      </c>
      <c r="N642" s="1">
        <v>0</v>
      </c>
      <c r="O642" t="s">
        <v>121</v>
      </c>
      <c r="P642" t="s">
        <v>26</v>
      </c>
    </row>
    <row r="643" spans="1:16" x14ac:dyDescent="0.2">
      <c r="A643" t="s">
        <v>114</v>
      </c>
      <c r="B643" t="s">
        <v>115</v>
      </c>
      <c r="C643" t="s">
        <v>180</v>
      </c>
      <c r="D643" t="s">
        <v>1461</v>
      </c>
      <c r="E643" t="s">
        <v>96</v>
      </c>
      <c r="F643" t="s">
        <v>1440</v>
      </c>
      <c r="G643" t="s">
        <v>1441</v>
      </c>
      <c r="H643" s="1">
        <v>24384</v>
      </c>
      <c r="I643" t="s">
        <v>1462</v>
      </c>
      <c r="J643" t="s">
        <v>120</v>
      </c>
      <c r="L643" t="s">
        <v>114</v>
      </c>
      <c r="M643" s="1">
        <v>0</v>
      </c>
      <c r="N643" s="1">
        <v>0</v>
      </c>
      <c r="O643" t="s">
        <v>121</v>
      </c>
      <c r="P643" t="s">
        <v>26</v>
      </c>
    </row>
    <row r="644" spans="1:16" x14ac:dyDescent="0.2">
      <c r="A644" t="s">
        <v>114</v>
      </c>
      <c r="B644" t="s">
        <v>115</v>
      </c>
      <c r="C644" t="s">
        <v>180</v>
      </c>
      <c r="D644" t="s">
        <v>1463</v>
      </c>
      <c r="E644" t="s">
        <v>96</v>
      </c>
      <c r="F644" t="s">
        <v>304</v>
      </c>
      <c r="G644" t="s">
        <v>305</v>
      </c>
      <c r="H644" s="1">
        <v>21691.3</v>
      </c>
      <c r="I644" t="s">
        <v>1062</v>
      </c>
      <c r="J644" t="s">
        <v>120</v>
      </c>
      <c r="L644" t="s">
        <v>114</v>
      </c>
      <c r="M644" s="1">
        <v>0</v>
      </c>
      <c r="N644" s="1">
        <v>0</v>
      </c>
      <c r="O644" t="s">
        <v>121</v>
      </c>
      <c r="P644" t="s">
        <v>26</v>
      </c>
    </row>
    <row r="645" spans="1:16" x14ac:dyDescent="0.2">
      <c r="A645" t="s">
        <v>114</v>
      </c>
      <c r="B645" t="s">
        <v>115</v>
      </c>
      <c r="C645" t="s">
        <v>1464</v>
      </c>
      <c r="D645" t="s">
        <v>1465</v>
      </c>
      <c r="E645" t="s">
        <v>96</v>
      </c>
      <c r="F645" t="s">
        <v>1440</v>
      </c>
      <c r="G645" t="s">
        <v>1441</v>
      </c>
      <c r="H645" s="1">
        <v>18466.3</v>
      </c>
      <c r="I645" t="s">
        <v>1466</v>
      </c>
      <c r="J645" t="s">
        <v>120</v>
      </c>
      <c r="L645" t="s">
        <v>114</v>
      </c>
      <c r="M645" s="1">
        <v>0</v>
      </c>
      <c r="N645" s="1">
        <v>0</v>
      </c>
      <c r="O645" t="s">
        <v>121</v>
      </c>
      <c r="P645" t="s">
        <v>26</v>
      </c>
    </row>
    <row r="646" spans="1:16" x14ac:dyDescent="0.2">
      <c r="A646" t="s">
        <v>114</v>
      </c>
      <c r="B646" t="s">
        <v>115</v>
      </c>
      <c r="C646" t="s">
        <v>354</v>
      </c>
      <c r="D646" t="s">
        <v>1467</v>
      </c>
      <c r="E646" t="s">
        <v>96</v>
      </c>
      <c r="F646" t="s">
        <v>290</v>
      </c>
      <c r="G646" t="s">
        <v>291</v>
      </c>
      <c r="H646" s="1">
        <v>40474.5</v>
      </c>
      <c r="I646" t="s">
        <v>282</v>
      </c>
      <c r="J646" t="s">
        <v>120</v>
      </c>
      <c r="L646" t="s">
        <v>114</v>
      </c>
      <c r="M646" s="1">
        <v>0</v>
      </c>
      <c r="N646" s="1">
        <v>0</v>
      </c>
      <c r="O646" t="s">
        <v>121</v>
      </c>
      <c r="P646" t="s">
        <v>26</v>
      </c>
    </row>
    <row r="647" spans="1:16" x14ac:dyDescent="0.2">
      <c r="A647" t="s">
        <v>114</v>
      </c>
      <c r="B647" t="s">
        <v>115</v>
      </c>
      <c r="C647" t="s">
        <v>280</v>
      </c>
      <c r="D647" t="s">
        <v>1468</v>
      </c>
      <c r="E647" t="s">
        <v>96</v>
      </c>
      <c r="F647" t="s">
        <v>290</v>
      </c>
      <c r="G647" t="s">
        <v>291</v>
      </c>
      <c r="H647" s="1">
        <v>53966</v>
      </c>
      <c r="I647" t="s">
        <v>709</v>
      </c>
      <c r="J647" t="s">
        <v>120</v>
      </c>
      <c r="L647" t="s">
        <v>114</v>
      </c>
      <c r="M647" s="1">
        <v>0</v>
      </c>
      <c r="N647" s="1">
        <v>0</v>
      </c>
      <c r="O647" t="s">
        <v>121</v>
      </c>
      <c r="P647" t="s">
        <v>26</v>
      </c>
    </row>
    <row r="648" spans="1:16" x14ac:dyDescent="0.2">
      <c r="A648" t="s">
        <v>114</v>
      </c>
      <c r="B648" t="s">
        <v>115</v>
      </c>
      <c r="C648" t="s">
        <v>1469</v>
      </c>
      <c r="D648" t="s">
        <v>1470</v>
      </c>
      <c r="E648" t="s">
        <v>96</v>
      </c>
      <c r="F648" t="s">
        <v>1430</v>
      </c>
      <c r="G648" t="s">
        <v>1431</v>
      </c>
      <c r="H648" s="1">
        <v>21171.200000000001</v>
      </c>
      <c r="I648" t="s">
        <v>1062</v>
      </c>
      <c r="J648" t="s">
        <v>120</v>
      </c>
      <c r="L648" t="s">
        <v>114</v>
      </c>
      <c r="M648" s="1">
        <v>0</v>
      </c>
      <c r="N648" s="1">
        <v>0</v>
      </c>
      <c r="O648" t="s">
        <v>121</v>
      </c>
      <c r="P648" t="s">
        <v>26</v>
      </c>
    </row>
    <row r="649" spans="1:16" x14ac:dyDescent="0.2">
      <c r="A649" t="s">
        <v>114</v>
      </c>
      <c r="B649" t="s">
        <v>115</v>
      </c>
      <c r="C649" t="s">
        <v>96</v>
      </c>
      <c r="D649" t="s">
        <v>1471</v>
      </c>
      <c r="E649" t="s">
        <v>96</v>
      </c>
      <c r="F649" t="s">
        <v>1440</v>
      </c>
      <c r="G649" t="s">
        <v>1441</v>
      </c>
      <c r="H649" s="1">
        <v>24612.2</v>
      </c>
      <c r="I649" t="s">
        <v>1311</v>
      </c>
      <c r="J649" t="s">
        <v>120</v>
      </c>
      <c r="L649" t="s">
        <v>114</v>
      </c>
      <c r="M649" s="1">
        <v>0</v>
      </c>
      <c r="N649" s="1">
        <v>0</v>
      </c>
      <c r="O649" t="s">
        <v>121</v>
      </c>
      <c r="P649" t="s">
        <v>26</v>
      </c>
    </row>
    <row r="650" spans="1:16" x14ac:dyDescent="0.2">
      <c r="A650" t="s">
        <v>114</v>
      </c>
      <c r="B650" t="s">
        <v>115</v>
      </c>
      <c r="C650" t="s">
        <v>96</v>
      </c>
      <c r="D650" t="s">
        <v>1472</v>
      </c>
      <c r="E650" t="s">
        <v>96</v>
      </c>
      <c r="F650" t="s">
        <v>1430</v>
      </c>
      <c r="G650" t="s">
        <v>1431</v>
      </c>
      <c r="H650" s="1">
        <v>12191</v>
      </c>
      <c r="I650" t="s">
        <v>1409</v>
      </c>
      <c r="J650" t="s">
        <v>120</v>
      </c>
      <c r="L650" t="s">
        <v>114</v>
      </c>
      <c r="M650" s="1">
        <v>0</v>
      </c>
      <c r="N650" s="1">
        <v>0</v>
      </c>
      <c r="O650" t="s">
        <v>121</v>
      </c>
      <c r="P650" t="s">
        <v>26</v>
      </c>
    </row>
    <row r="651" spans="1:16" x14ac:dyDescent="0.2">
      <c r="A651" t="s">
        <v>114</v>
      </c>
      <c r="B651" t="s">
        <v>115</v>
      </c>
      <c r="C651" t="s">
        <v>96</v>
      </c>
      <c r="D651" t="s">
        <v>1473</v>
      </c>
      <c r="E651" t="s">
        <v>96</v>
      </c>
      <c r="F651" t="s">
        <v>290</v>
      </c>
      <c r="G651" t="s">
        <v>291</v>
      </c>
      <c r="H651" s="1">
        <v>26983</v>
      </c>
      <c r="I651" t="s">
        <v>1474</v>
      </c>
      <c r="J651" t="s">
        <v>120</v>
      </c>
      <c r="L651" t="s">
        <v>114</v>
      </c>
      <c r="M651" s="1">
        <v>0</v>
      </c>
      <c r="N651" s="1">
        <v>0</v>
      </c>
      <c r="O651" t="s">
        <v>121</v>
      </c>
      <c r="P651" t="s">
        <v>26</v>
      </c>
    </row>
    <row r="652" spans="1:16" x14ac:dyDescent="0.2">
      <c r="A652" t="s">
        <v>114</v>
      </c>
      <c r="B652" t="s">
        <v>115</v>
      </c>
      <c r="C652" t="s">
        <v>820</v>
      </c>
      <c r="D652" t="s">
        <v>1475</v>
      </c>
      <c r="E652" t="s">
        <v>96</v>
      </c>
      <c r="F652" t="s">
        <v>1476</v>
      </c>
      <c r="G652" t="s">
        <v>1477</v>
      </c>
      <c r="H652" s="1">
        <v>18546</v>
      </c>
      <c r="I652" t="s">
        <v>1478</v>
      </c>
      <c r="J652" t="s">
        <v>120</v>
      </c>
      <c r="L652" t="s">
        <v>114</v>
      </c>
      <c r="M652" s="1">
        <v>0</v>
      </c>
      <c r="N652" s="1">
        <v>0</v>
      </c>
      <c r="O652" t="s">
        <v>121</v>
      </c>
      <c r="P652" t="s">
        <v>26</v>
      </c>
    </row>
    <row r="653" spans="1:16" x14ac:dyDescent="0.2">
      <c r="A653" t="s">
        <v>114</v>
      </c>
      <c r="B653" t="s">
        <v>115</v>
      </c>
      <c r="C653" t="s">
        <v>357</v>
      </c>
      <c r="D653" t="s">
        <v>1479</v>
      </c>
      <c r="E653" t="s">
        <v>96</v>
      </c>
      <c r="F653" t="s">
        <v>1480</v>
      </c>
      <c r="G653" t="s">
        <v>1481</v>
      </c>
      <c r="H653" s="1">
        <v>29581.5</v>
      </c>
      <c r="I653" t="s">
        <v>1482</v>
      </c>
      <c r="J653" t="s">
        <v>120</v>
      </c>
      <c r="L653" t="s">
        <v>114</v>
      </c>
      <c r="M653" s="1">
        <v>0</v>
      </c>
      <c r="N653" s="1">
        <v>0</v>
      </c>
      <c r="O653" t="s">
        <v>121</v>
      </c>
      <c r="P653" t="s">
        <v>26</v>
      </c>
    </row>
    <row r="654" spans="1:16" x14ac:dyDescent="0.2">
      <c r="A654" t="s">
        <v>114</v>
      </c>
      <c r="B654" t="s">
        <v>115</v>
      </c>
      <c r="C654" t="s">
        <v>357</v>
      </c>
      <c r="D654" t="s">
        <v>1483</v>
      </c>
      <c r="E654" t="s">
        <v>96</v>
      </c>
      <c r="F654" t="s">
        <v>1476</v>
      </c>
      <c r="G654" t="s">
        <v>1477</v>
      </c>
      <c r="H654" s="1">
        <v>13909.5</v>
      </c>
      <c r="I654" t="s">
        <v>654</v>
      </c>
      <c r="J654" t="s">
        <v>120</v>
      </c>
      <c r="L654" t="s">
        <v>114</v>
      </c>
      <c r="M654" s="1">
        <v>0</v>
      </c>
      <c r="N654" s="1">
        <v>0</v>
      </c>
      <c r="O654" t="s">
        <v>121</v>
      </c>
      <c r="P654" t="s">
        <v>26</v>
      </c>
    </row>
    <row r="655" spans="1:16" x14ac:dyDescent="0.2">
      <c r="A655" t="s">
        <v>114</v>
      </c>
      <c r="B655" t="s">
        <v>115</v>
      </c>
      <c r="C655" t="s">
        <v>357</v>
      </c>
      <c r="D655" t="s">
        <v>1484</v>
      </c>
      <c r="E655" t="s">
        <v>96</v>
      </c>
      <c r="F655" t="s">
        <v>1430</v>
      </c>
      <c r="G655" t="s">
        <v>1431</v>
      </c>
      <c r="H655" s="1">
        <v>31588.7</v>
      </c>
      <c r="I655" t="s">
        <v>1466</v>
      </c>
      <c r="J655" t="s">
        <v>120</v>
      </c>
      <c r="L655" t="s">
        <v>114</v>
      </c>
      <c r="M655" s="1">
        <v>0</v>
      </c>
      <c r="N655" s="1">
        <v>0</v>
      </c>
      <c r="O655" t="s">
        <v>121</v>
      </c>
      <c r="P655" t="s">
        <v>26</v>
      </c>
    </row>
    <row r="656" spans="1:16" x14ac:dyDescent="0.2">
      <c r="A656" t="s">
        <v>114</v>
      </c>
      <c r="B656" t="s">
        <v>115</v>
      </c>
      <c r="C656" t="s">
        <v>1415</v>
      </c>
      <c r="D656" t="s">
        <v>1485</v>
      </c>
      <c r="E656" t="s">
        <v>96</v>
      </c>
      <c r="F656" t="s">
        <v>347</v>
      </c>
      <c r="G656" t="s">
        <v>348</v>
      </c>
      <c r="H656" s="1">
        <v>24384</v>
      </c>
      <c r="I656" t="s">
        <v>1486</v>
      </c>
      <c r="J656" t="s">
        <v>120</v>
      </c>
      <c r="L656" t="s">
        <v>114</v>
      </c>
      <c r="M656" s="1">
        <v>0</v>
      </c>
      <c r="N656" s="1">
        <v>0</v>
      </c>
      <c r="O656" t="s">
        <v>121</v>
      </c>
      <c r="P656" t="s">
        <v>26</v>
      </c>
    </row>
    <row r="657" spans="1:16" x14ac:dyDescent="0.2">
      <c r="A657" t="s">
        <v>114</v>
      </c>
      <c r="B657" t="s">
        <v>115</v>
      </c>
      <c r="C657" t="s">
        <v>1415</v>
      </c>
      <c r="D657" t="s">
        <v>1487</v>
      </c>
      <c r="E657" t="s">
        <v>96</v>
      </c>
      <c r="F657" t="s">
        <v>1430</v>
      </c>
      <c r="G657" t="s">
        <v>1431</v>
      </c>
      <c r="H657" s="1">
        <v>31588.7</v>
      </c>
      <c r="I657" t="s">
        <v>1488</v>
      </c>
      <c r="J657" t="s">
        <v>120</v>
      </c>
      <c r="L657" t="s">
        <v>114</v>
      </c>
      <c r="M657" s="1">
        <v>0</v>
      </c>
      <c r="N657" s="1">
        <v>0</v>
      </c>
      <c r="O657" t="s">
        <v>121</v>
      </c>
      <c r="P657" t="s">
        <v>26</v>
      </c>
    </row>
    <row r="658" spans="1:16" x14ac:dyDescent="0.2">
      <c r="A658" t="s">
        <v>114</v>
      </c>
      <c r="B658" t="s">
        <v>115</v>
      </c>
      <c r="C658" t="s">
        <v>1211</v>
      </c>
      <c r="D658" t="s">
        <v>1489</v>
      </c>
      <c r="E658" t="s">
        <v>96</v>
      </c>
      <c r="F658" t="s">
        <v>1440</v>
      </c>
      <c r="G658" t="s">
        <v>1441</v>
      </c>
      <c r="H658" s="1">
        <v>18466.3</v>
      </c>
      <c r="I658" t="s">
        <v>1490</v>
      </c>
      <c r="J658" t="s">
        <v>120</v>
      </c>
      <c r="L658" t="s">
        <v>114</v>
      </c>
      <c r="M658" s="1">
        <v>0</v>
      </c>
      <c r="N658" s="1">
        <v>0</v>
      </c>
      <c r="O658" t="s">
        <v>121</v>
      </c>
      <c r="P658" t="s">
        <v>26</v>
      </c>
    </row>
    <row r="659" spans="1:16" x14ac:dyDescent="0.2">
      <c r="A659" t="s">
        <v>114</v>
      </c>
      <c r="B659" t="s">
        <v>115</v>
      </c>
      <c r="C659" t="s">
        <v>1211</v>
      </c>
      <c r="D659" t="s">
        <v>1491</v>
      </c>
      <c r="E659" t="s">
        <v>96</v>
      </c>
      <c r="F659" t="s">
        <v>312</v>
      </c>
      <c r="G659" t="s">
        <v>313</v>
      </c>
      <c r="H659" s="1">
        <v>18546</v>
      </c>
      <c r="I659" t="s">
        <v>1492</v>
      </c>
      <c r="J659" t="s">
        <v>120</v>
      </c>
      <c r="L659" t="s">
        <v>114</v>
      </c>
      <c r="M659" s="1">
        <v>0</v>
      </c>
      <c r="N659" s="1">
        <v>0</v>
      </c>
      <c r="O659" t="s">
        <v>121</v>
      </c>
      <c r="P659" t="s">
        <v>26</v>
      </c>
    </row>
    <row r="660" spans="1:16" x14ac:dyDescent="0.2">
      <c r="A660" t="s">
        <v>415</v>
      </c>
      <c r="B660" t="s">
        <v>423</v>
      </c>
      <c r="C660" t="s">
        <v>442</v>
      </c>
      <c r="D660" t="s">
        <v>443</v>
      </c>
      <c r="E660" t="s">
        <v>71</v>
      </c>
      <c r="F660" t="s">
        <v>434</v>
      </c>
      <c r="G660" t="s">
        <v>435</v>
      </c>
      <c r="H660" s="1">
        <v>17142.2</v>
      </c>
      <c r="I660" t="s">
        <v>446</v>
      </c>
      <c r="J660" t="s">
        <v>372</v>
      </c>
      <c r="L660" t="s">
        <v>415</v>
      </c>
      <c r="M660" s="1"/>
      <c r="N660" s="1"/>
      <c r="O660" t="s">
        <v>36</v>
      </c>
      <c r="P660" t="s">
        <v>26</v>
      </c>
    </row>
    <row r="661" spans="1:16" x14ac:dyDescent="0.2">
      <c r="A661" t="s">
        <v>415</v>
      </c>
      <c r="B661" t="s">
        <v>423</v>
      </c>
      <c r="C661" t="s">
        <v>447</v>
      </c>
      <c r="D661" t="s">
        <v>448</v>
      </c>
      <c r="E661" t="s">
        <v>71</v>
      </c>
      <c r="F661" t="s">
        <v>439</v>
      </c>
      <c r="G661" t="s">
        <v>440</v>
      </c>
      <c r="H661" s="1">
        <v>36421.199999999997</v>
      </c>
      <c r="I661" t="s">
        <v>449</v>
      </c>
      <c r="J661" t="s">
        <v>422</v>
      </c>
      <c r="L661" t="s">
        <v>415</v>
      </c>
      <c r="M661" s="1"/>
      <c r="N661" s="1"/>
      <c r="O661" t="s">
        <v>36</v>
      </c>
      <c r="P661" t="s">
        <v>26</v>
      </c>
    </row>
    <row r="662" spans="1:16" x14ac:dyDescent="0.2">
      <c r="A662" t="s">
        <v>453</v>
      </c>
      <c r="B662" t="s">
        <v>454</v>
      </c>
      <c r="C662" t="s">
        <v>455</v>
      </c>
      <c r="D662">
        <v>49223431507</v>
      </c>
      <c r="E662" t="s">
        <v>256</v>
      </c>
      <c r="F662" t="s">
        <v>1493</v>
      </c>
      <c r="G662" t="s">
        <v>1494</v>
      </c>
      <c r="H662" s="1">
        <v>3454.22</v>
      </c>
      <c r="I662" t="s">
        <v>458</v>
      </c>
      <c r="J662" t="s">
        <v>56</v>
      </c>
      <c r="L662" t="s">
        <v>1495</v>
      </c>
      <c r="M662" s="1"/>
      <c r="N662" s="1"/>
      <c r="O662" t="s">
        <v>57</v>
      </c>
      <c r="P662" t="s">
        <v>26</v>
      </c>
    </row>
    <row r="663" spans="1:16" x14ac:dyDescent="0.2">
      <c r="A663" t="s">
        <v>50</v>
      </c>
      <c r="B663" t="s">
        <v>51</v>
      </c>
      <c r="C663" t="s">
        <v>424</v>
      </c>
      <c r="D663">
        <v>53700009795</v>
      </c>
      <c r="E663" t="s">
        <v>192</v>
      </c>
      <c r="F663" t="s">
        <v>1496</v>
      </c>
      <c r="G663" t="s">
        <v>1497</v>
      </c>
      <c r="H663" s="1">
        <v>2718</v>
      </c>
      <c r="I663" t="s">
        <v>459</v>
      </c>
      <c r="J663" t="s">
        <v>422</v>
      </c>
      <c r="L663" t="s">
        <v>488</v>
      </c>
      <c r="M663" s="1"/>
      <c r="N663" s="1"/>
      <c r="O663" t="s">
        <v>57</v>
      </c>
      <c r="P663" t="s">
        <v>26</v>
      </c>
    </row>
    <row r="664" spans="1:16" x14ac:dyDescent="0.2">
      <c r="A664" t="s">
        <v>50</v>
      </c>
      <c r="B664" t="s">
        <v>51</v>
      </c>
      <c r="C664" t="s">
        <v>424</v>
      </c>
      <c r="D664">
        <v>53700009795</v>
      </c>
      <c r="E664" t="s">
        <v>192</v>
      </c>
      <c r="F664" t="s">
        <v>1498</v>
      </c>
      <c r="G664" t="s">
        <v>1499</v>
      </c>
      <c r="H664" s="1">
        <v>3066</v>
      </c>
      <c r="I664" t="s">
        <v>459</v>
      </c>
      <c r="J664" t="s">
        <v>422</v>
      </c>
      <c r="L664" t="s">
        <v>488</v>
      </c>
      <c r="M664" s="1"/>
      <c r="N664" s="1"/>
      <c r="O664" t="s">
        <v>57</v>
      </c>
      <c r="P664" t="s">
        <v>26</v>
      </c>
    </row>
    <row r="665" spans="1:16" x14ac:dyDescent="0.2">
      <c r="A665" t="s">
        <v>50</v>
      </c>
      <c r="B665" t="s">
        <v>51</v>
      </c>
      <c r="C665" t="s">
        <v>424</v>
      </c>
      <c r="D665">
        <v>53700009795</v>
      </c>
      <c r="E665" t="s">
        <v>192</v>
      </c>
      <c r="F665" t="s">
        <v>1500</v>
      </c>
      <c r="G665" t="s">
        <v>1501</v>
      </c>
      <c r="H665" s="1">
        <v>2968</v>
      </c>
      <c r="I665" t="s">
        <v>459</v>
      </c>
      <c r="J665" t="s">
        <v>422</v>
      </c>
      <c r="L665" t="s">
        <v>488</v>
      </c>
      <c r="M665" s="1"/>
      <c r="N665" s="1"/>
      <c r="O665" t="s">
        <v>57</v>
      </c>
      <c r="P665" t="s">
        <v>26</v>
      </c>
    </row>
    <row r="666" spans="1:16" x14ac:dyDescent="0.2">
      <c r="A666" t="s">
        <v>50</v>
      </c>
      <c r="B666" t="s">
        <v>51</v>
      </c>
      <c r="C666" t="s">
        <v>380</v>
      </c>
      <c r="D666">
        <v>53700003900</v>
      </c>
      <c r="E666" t="s">
        <v>192</v>
      </c>
      <c r="F666" t="s">
        <v>1502</v>
      </c>
      <c r="G666" t="s">
        <v>1503</v>
      </c>
      <c r="H666" s="1">
        <v>6214.9</v>
      </c>
      <c r="I666" t="s">
        <v>464</v>
      </c>
      <c r="J666" t="s">
        <v>422</v>
      </c>
      <c r="L666" t="s">
        <v>366</v>
      </c>
      <c r="M666" s="1"/>
      <c r="N666" s="1"/>
      <c r="O666" t="s">
        <v>57</v>
      </c>
      <c r="P666" t="s">
        <v>26</v>
      </c>
    </row>
    <row r="667" spans="1:16" x14ac:dyDescent="0.2">
      <c r="A667" t="s">
        <v>50</v>
      </c>
      <c r="B667" t="s">
        <v>51</v>
      </c>
      <c r="C667" t="s">
        <v>380</v>
      </c>
      <c r="D667">
        <v>53700003900</v>
      </c>
      <c r="E667" t="s">
        <v>192</v>
      </c>
      <c r="F667" t="s">
        <v>1504</v>
      </c>
      <c r="G667" t="s">
        <v>1505</v>
      </c>
      <c r="H667" s="1">
        <v>4920.72</v>
      </c>
      <c r="I667" t="s">
        <v>464</v>
      </c>
      <c r="J667" t="s">
        <v>83</v>
      </c>
      <c r="L667" t="s">
        <v>415</v>
      </c>
      <c r="M667" s="1"/>
      <c r="N667" s="1"/>
      <c r="O667" t="s">
        <v>57</v>
      </c>
      <c r="P667" t="s">
        <v>26</v>
      </c>
    </row>
    <row r="668" spans="1:16" x14ac:dyDescent="0.2">
      <c r="A668" t="s">
        <v>50</v>
      </c>
      <c r="B668" t="s">
        <v>51</v>
      </c>
      <c r="C668" t="s">
        <v>380</v>
      </c>
      <c r="D668">
        <v>53700003900</v>
      </c>
      <c r="E668" t="s">
        <v>192</v>
      </c>
      <c r="F668" t="s">
        <v>419</v>
      </c>
      <c r="G668" t="s">
        <v>420</v>
      </c>
      <c r="H668" s="1">
        <v>5030.3999999999996</v>
      </c>
      <c r="I668" t="s">
        <v>464</v>
      </c>
      <c r="J668" t="s">
        <v>422</v>
      </c>
      <c r="L668" t="s">
        <v>415</v>
      </c>
      <c r="M668" s="1"/>
      <c r="N668" s="1"/>
      <c r="O668" t="s">
        <v>57</v>
      </c>
      <c r="P668" t="s">
        <v>26</v>
      </c>
    </row>
    <row r="669" spans="1:16" x14ac:dyDescent="0.2">
      <c r="A669" t="s">
        <v>50</v>
      </c>
      <c r="B669" t="s">
        <v>51</v>
      </c>
      <c r="C669" t="s">
        <v>465</v>
      </c>
      <c r="D669">
        <v>53700010360</v>
      </c>
      <c r="E669" t="s">
        <v>192</v>
      </c>
      <c r="F669" t="s">
        <v>53</v>
      </c>
      <c r="G669" t="s">
        <v>54</v>
      </c>
      <c r="H669" s="1">
        <v>35730</v>
      </c>
      <c r="I669" t="s">
        <v>466</v>
      </c>
      <c r="J669" t="s">
        <v>56</v>
      </c>
      <c r="L669" t="s">
        <v>40</v>
      </c>
      <c r="M669" s="1"/>
      <c r="N669" s="1"/>
      <c r="O669" t="s">
        <v>57</v>
      </c>
      <c r="P669" t="s">
        <v>26</v>
      </c>
    </row>
    <row r="670" spans="1:16" x14ac:dyDescent="0.2">
      <c r="A670" t="s">
        <v>50</v>
      </c>
      <c r="B670" t="s">
        <v>51</v>
      </c>
      <c r="C670" t="s">
        <v>205</v>
      </c>
      <c r="D670">
        <v>53700008384</v>
      </c>
      <c r="E670" t="s">
        <v>192</v>
      </c>
      <c r="F670" t="s">
        <v>20</v>
      </c>
      <c r="G670" t="s">
        <v>21</v>
      </c>
      <c r="H670" s="1">
        <v>8334.94</v>
      </c>
      <c r="I670" t="s">
        <v>206</v>
      </c>
      <c r="J670" t="s">
        <v>23</v>
      </c>
      <c r="L670" t="s">
        <v>24</v>
      </c>
      <c r="M670" s="1"/>
      <c r="N670" s="1"/>
      <c r="O670" t="s">
        <v>57</v>
      </c>
      <c r="P670" t="s">
        <v>26</v>
      </c>
    </row>
    <row r="671" spans="1:16" x14ac:dyDescent="0.2">
      <c r="A671" t="s">
        <v>50</v>
      </c>
      <c r="B671" t="s">
        <v>51</v>
      </c>
      <c r="C671" t="s">
        <v>469</v>
      </c>
      <c r="D671">
        <v>53700012259</v>
      </c>
      <c r="E671" t="s">
        <v>67</v>
      </c>
      <c r="F671" t="s">
        <v>1506</v>
      </c>
      <c r="G671" t="s">
        <v>1507</v>
      </c>
      <c r="H671" s="1">
        <v>50467.3</v>
      </c>
      <c r="I671" t="s">
        <v>470</v>
      </c>
      <c r="J671" t="s">
        <v>1508</v>
      </c>
      <c r="L671" t="s">
        <v>1509</v>
      </c>
      <c r="M671" s="1"/>
      <c r="N671" s="1"/>
      <c r="O671" t="s">
        <v>57</v>
      </c>
      <c r="P671" t="s">
        <v>26</v>
      </c>
    </row>
    <row r="672" spans="1:16" x14ac:dyDescent="0.2">
      <c r="A672" t="s">
        <v>50</v>
      </c>
      <c r="B672" t="s">
        <v>51</v>
      </c>
      <c r="C672" t="s">
        <v>469</v>
      </c>
      <c r="D672">
        <v>53700012259</v>
      </c>
      <c r="E672" t="s">
        <v>67</v>
      </c>
      <c r="F672" t="s">
        <v>1510</v>
      </c>
      <c r="G672" t="s">
        <v>1511</v>
      </c>
      <c r="H672" s="1">
        <v>38483.599999999999</v>
      </c>
      <c r="I672" t="s">
        <v>470</v>
      </c>
      <c r="J672" t="s">
        <v>56</v>
      </c>
      <c r="L672" t="s">
        <v>1512</v>
      </c>
      <c r="M672" s="1"/>
      <c r="N672" s="1"/>
      <c r="O672" t="s">
        <v>57</v>
      </c>
      <c r="P672" t="s">
        <v>26</v>
      </c>
    </row>
    <row r="673" spans="1:16" x14ac:dyDescent="0.2">
      <c r="A673" t="s">
        <v>50</v>
      </c>
      <c r="B673" t="s">
        <v>51</v>
      </c>
      <c r="C673" t="s">
        <v>469</v>
      </c>
      <c r="D673">
        <v>53700012259</v>
      </c>
      <c r="E673" t="s">
        <v>67</v>
      </c>
      <c r="F673" t="s">
        <v>1513</v>
      </c>
      <c r="G673" t="s">
        <v>1514</v>
      </c>
      <c r="H673" s="1">
        <v>14105</v>
      </c>
      <c r="I673" t="s">
        <v>470</v>
      </c>
      <c r="J673" t="s">
        <v>56</v>
      </c>
      <c r="L673" t="s">
        <v>1515</v>
      </c>
      <c r="M673" s="1"/>
      <c r="N673" s="1"/>
      <c r="O673" t="s">
        <v>57</v>
      </c>
      <c r="P673" t="s">
        <v>26</v>
      </c>
    </row>
    <row r="674" spans="1:16" x14ac:dyDescent="0.2">
      <c r="A674" t="s">
        <v>50</v>
      </c>
      <c r="B674" t="s">
        <v>51</v>
      </c>
      <c r="C674" t="s">
        <v>471</v>
      </c>
      <c r="D674">
        <v>53700007236</v>
      </c>
      <c r="E674" t="s">
        <v>38</v>
      </c>
      <c r="F674" t="s">
        <v>520</v>
      </c>
      <c r="G674" t="s">
        <v>521</v>
      </c>
      <c r="H674" s="1">
        <v>324.7</v>
      </c>
      <c r="I674" t="s">
        <v>472</v>
      </c>
      <c r="J674" t="s">
        <v>487</v>
      </c>
      <c r="L674" t="s">
        <v>488</v>
      </c>
      <c r="M674" s="1"/>
      <c r="N674" s="1"/>
      <c r="O674" t="s">
        <v>57</v>
      </c>
      <c r="P674" t="s">
        <v>26</v>
      </c>
    </row>
    <row r="675" spans="1:16" x14ac:dyDescent="0.2">
      <c r="A675" t="s">
        <v>50</v>
      </c>
      <c r="B675" t="s">
        <v>51</v>
      </c>
      <c r="C675" t="s">
        <v>471</v>
      </c>
      <c r="D675">
        <v>53700007236</v>
      </c>
      <c r="E675" t="s">
        <v>38</v>
      </c>
      <c r="F675" t="s">
        <v>1516</v>
      </c>
      <c r="G675" t="s">
        <v>1517</v>
      </c>
      <c r="H675" s="1">
        <v>107.25</v>
      </c>
      <c r="I675" t="s">
        <v>472</v>
      </c>
      <c r="J675" t="s">
        <v>422</v>
      </c>
      <c r="L675" t="s">
        <v>1518</v>
      </c>
      <c r="M675" s="1"/>
      <c r="N675" s="1"/>
      <c r="O675" t="s">
        <v>57</v>
      </c>
      <c r="P675" t="s">
        <v>26</v>
      </c>
    </row>
    <row r="676" spans="1:16" x14ac:dyDescent="0.2">
      <c r="A676" t="s">
        <v>50</v>
      </c>
      <c r="B676" t="s">
        <v>51</v>
      </c>
      <c r="C676" t="s">
        <v>473</v>
      </c>
      <c r="D676">
        <v>53700008214</v>
      </c>
      <c r="E676" t="s">
        <v>38</v>
      </c>
      <c r="F676" t="s">
        <v>1519</v>
      </c>
      <c r="G676" t="s">
        <v>1520</v>
      </c>
      <c r="H676" s="1">
        <v>9653.7199999999993</v>
      </c>
      <c r="I676" t="s">
        <v>474</v>
      </c>
      <c r="J676" t="s">
        <v>1508</v>
      </c>
      <c r="L676" t="s">
        <v>1521</v>
      </c>
      <c r="M676" s="1"/>
      <c r="N676" s="1"/>
      <c r="O676" t="s">
        <v>57</v>
      </c>
      <c r="P676" t="s">
        <v>26</v>
      </c>
    </row>
    <row r="677" spans="1:16" x14ac:dyDescent="0.2">
      <c r="A677" t="s">
        <v>50</v>
      </c>
      <c r="B677" t="s">
        <v>51</v>
      </c>
      <c r="C677" t="s">
        <v>473</v>
      </c>
      <c r="D677">
        <v>53700008214</v>
      </c>
      <c r="E677" t="s">
        <v>38</v>
      </c>
      <c r="F677" t="s">
        <v>1522</v>
      </c>
      <c r="G677" t="s">
        <v>1523</v>
      </c>
      <c r="H677" s="1">
        <v>38461.300000000003</v>
      </c>
      <c r="I677" t="s">
        <v>474</v>
      </c>
      <c r="J677" t="s">
        <v>674</v>
      </c>
      <c r="L677" t="s">
        <v>1524</v>
      </c>
      <c r="M677" s="1"/>
      <c r="N677" s="1"/>
      <c r="O677" t="s">
        <v>57</v>
      </c>
      <c r="P677" t="s">
        <v>26</v>
      </c>
    </row>
    <row r="678" spans="1:16" x14ac:dyDescent="0.2">
      <c r="A678" t="s">
        <v>50</v>
      </c>
      <c r="B678" t="s">
        <v>51</v>
      </c>
      <c r="C678" t="s">
        <v>473</v>
      </c>
      <c r="D678">
        <v>53700008214</v>
      </c>
      <c r="E678" t="s">
        <v>38</v>
      </c>
      <c r="F678" t="s">
        <v>1525</v>
      </c>
      <c r="G678" t="s">
        <v>1526</v>
      </c>
      <c r="H678" s="1">
        <v>13726</v>
      </c>
      <c r="I678" t="s">
        <v>474</v>
      </c>
      <c r="J678" t="s">
        <v>1508</v>
      </c>
      <c r="L678" t="s">
        <v>1521</v>
      </c>
      <c r="M678" s="1"/>
      <c r="N678" s="1"/>
      <c r="O678" t="s">
        <v>57</v>
      </c>
      <c r="P678" t="s">
        <v>26</v>
      </c>
    </row>
    <row r="679" spans="1:16" x14ac:dyDescent="0.2">
      <c r="A679" t="s">
        <v>50</v>
      </c>
      <c r="B679" t="s">
        <v>51</v>
      </c>
      <c r="C679" t="s">
        <v>475</v>
      </c>
      <c r="D679">
        <v>53700008077</v>
      </c>
      <c r="E679" t="s">
        <v>38</v>
      </c>
      <c r="F679" t="s">
        <v>1527</v>
      </c>
      <c r="G679" t="s">
        <v>1528</v>
      </c>
      <c r="H679" s="1">
        <v>2466.5300000000002</v>
      </c>
      <c r="I679" t="s">
        <v>476</v>
      </c>
      <c r="J679" t="s">
        <v>1508</v>
      </c>
      <c r="L679" t="s">
        <v>1529</v>
      </c>
      <c r="M679" s="1"/>
      <c r="N679" s="1"/>
      <c r="O679" t="s">
        <v>57</v>
      </c>
      <c r="P679" t="s">
        <v>26</v>
      </c>
    </row>
    <row r="680" spans="1:16" x14ac:dyDescent="0.2">
      <c r="A680" t="s">
        <v>50</v>
      </c>
      <c r="B680" t="s">
        <v>51</v>
      </c>
      <c r="C680" t="s">
        <v>475</v>
      </c>
      <c r="D680">
        <v>53700008077</v>
      </c>
      <c r="E680" t="s">
        <v>38</v>
      </c>
      <c r="F680" t="s">
        <v>1530</v>
      </c>
      <c r="G680" t="s">
        <v>1531</v>
      </c>
      <c r="H680" s="1">
        <v>3596.76</v>
      </c>
      <c r="I680" t="s">
        <v>476</v>
      </c>
      <c r="J680" t="s">
        <v>56</v>
      </c>
      <c r="L680" t="s">
        <v>1509</v>
      </c>
      <c r="M680" s="1"/>
      <c r="N680" s="1"/>
      <c r="O680" t="s">
        <v>57</v>
      </c>
      <c r="P680" t="s">
        <v>26</v>
      </c>
    </row>
    <row r="681" spans="1:16" x14ac:dyDescent="0.2">
      <c r="A681" t="s">
        <v>50</v>
      </c>
      <c r="B681" t="s">
        <v>51</v>
      </c>
      <c r="C681" t="s">
        <v>475</v>
      </c>
      <c r="D681">
        <v>53700008077</v>
      </c>
      <c r="E681" t="s">
        <v>38</v>
      </c>
      <c r="F681" t="s">
        <v>1532</v>
      </c>
      <c r="G681" t="s">
        <v>1533</v>
      </c>
      <c r="H681" s="1">
        <v>3100.96</v>
      </c>
      <c r="I681" t="s">
        <v>476</v>
      </c>
      <c r="J681" t="s">
        <v>56</v>
      </c>
      <c r="L681" t="s">
        <v>1534</v>
      </c>
      <c r="M681" s="1"/>
      <c r="N681" s="1"/>
      <c r="O681" t="s">
        <v>57</v>
      </c>
      <c r="P681" t="s">
        <v>26</v>
      </c>
    </row>
    <row r="682" spans="1:16" x14ac:dyDescent="0.2">
      <c r="A682" t="s">
        <v>50</v>
      </c>
      <c r="B682" t="s">
        <v>51</v>
      </c>
      <c r="C682" t="s">
        <v>475</v>
      </c>
      <c r="D682">
        <v>53700008077</v>
      </c>
      <c r="E682" t="s">
        <v>38</v>
      </c>
      <c r="F682" t="s">
        <v>1535</v>
      </c>
      <c r="G682" t="s">
        <v>1536</v>
      </c>
      <c r="H682" s="1">
        <v>2656.88</v>
      </c>
      <c r="I682" t="s">
        <v>476</v>
      </c>
      <c r="J682" t="s">
        <v>56</v>
      </c>
      <c r="L682" t="s">
        <v>1515</v>
      </c>
      <c r="M682" s="1"/>
      <c r="N682" s="1"/>
      <c r="O682" t="s">
        <v>57</v>
      </c>
      <c r="P682" t="s">
        <v>26</v>
      </c>
    </row>
    <row r="683" spans="1:16" x14ac:dyDescent="0.2">
      <c r="A683" t="s">
        <v>50</v>
      </c>
      <c r="B683" t="s">
        <v>51</v>
      </c>
      <c r="C683" t="s">
        <v>477</v>
      </c>
      <c r="D683">
        <v>53700012953</v>
      </c>
      <c r="E683" t="s">
        <v>38</v>
      </c>
      <c r="F683" t="s">
        <v>456</v>
      </c>
      <c r="G683" t="s">
        <v>457</v>
      </c>
      <c r="H683" s="1">
        <v>147719</v>
      </c>
      <c r="I683" t="s">
        <v>478</v>
      </c>
      <c r="J683" t="s">
        <v>56</v>
      </c>
      <c r="L683" t="s">
        <v>40</v>
      </c>
      <c r="M683" s="1"/>
      <c r="N683" s="1"/>
      <c r="O683" t="s">
        <v>57</v>
      </c>
      <c r="P683" t="s">
        <v>26</v>
      </c>
    </row>
    <row r="684" spans="1:16" x14ac:dyDescent="0.2">
      <c r="A684" t="s">
        <v>50</v>
      </c>
      <c r="B684" t="s">
        <v>51</v>
      </c>
      <c r="C684" t="s">
        <v>480</v>
      </c>
      <c r="D684">
        <v>53700012954</v>
      </c>
      <c r="E684" t="s">
        <v>38</v>
      </c>
      <c r="F684" t="s">
        <v>456</v>
      </c>
      <c r="G684" t="s">
        <v>457</v>
      </c>
      <c r="H684" s="1">
        <v>150693</v>
      </c>
      <c r="I684" t="s">
        <v>478</v>
      </c>
      <c r="J684" t="s">
        <v>56</v>
      </c>
      <c r="L684" t="s">
        <v>40</v>
      </c>
      <c r="M684" s="1"/>
      <c r="N684" s="1"/>
      <c r="O684" t="s">
        <v>57</v>
      </c>
      <c r="P684" t="s">
        <v>26</v>
      </c>
    </row>
    <row r="685" spans="1:16" x14ac:dyDescent="0.2">
      <c r="A685" t="s">
        <v>50</v>
      </c>
      <c r="B685" t="s">
        <v>51</v>
      </c>
      <c r="C685" t="s">
        <v>481</v>
      </c>
      <c r="D685">
        <v>53700008079</v>
      </c>
      <c r="E685" t="s">
        <v>38</v>
      </c>
      <c r="F685" t="s">
        <v>1527</v>
      </c>
      <c r="G685" t="s">
        <v>1528</v>
      </c>
      <c r="H685" s="1">
        <v>2788.21</v>
      </c>
      <c r="I685" t="s">
        <v>482</v>
      </c>
      <c r="J685" t="s">
        <v>1508</v>
      </c>
      <c r="L685" t="s">
        <v>1529</v>
      </c>
      <c r="M685" s="1"/>
      <c r="N685" s="1"/>
      <c r="O685" t="s">
        <v>57</v>
      </c>
      <c r="P685" t="s">
        <v>26</v>
      </c>
    </row>
    <row r="686" spans="1:16" x14ac:dyDescent="0.2">
      <c r="A686" t="s">
        <v>50</v>
      </c>
      <c r="B686" t="s">
        <v>51</v>
      </c>
      <c r="C686" t="s">
        <v>481</v>
      </c>
      <c r="D686">
        <v>53700008079</v>
      </c>
      <c r="E686" t="s">
        <v>38</v>
      </c>
      <c r="F686" t="s">
        <v>1530</v>
      </c>
      <c r="G686" t="s">
        <v>1531</v>
      </c>
      <c r="H686" s="1">
        <v>4578.29</v>
      </c>
      <c r="I686" t="s">
        <v>482</v>
      </c>
      <c r="J686" t="s">
        <v>56</v>
      </c>
      <c r="L686" t="s">
        <v>1509</v>
      </c>
      <c r="M686" s="1"/>
      <c r="N686" s="1"/>
      <c r="O686" t="s">
        <v>57</v>
      </c>
      <c r="P686" t="s">
        <v>26</v>
      </c>
    </row>
    <row r="687" spans="1:16" x14ac:dyDescent="0.2">
      <c r="A687" t="s">
        <v>50</v>
      </c>
      <c r="B687" t="s">
        <v>51</v>
      </c>
      <c r="C687" t="s">
        <v>481</v>
      </c>
      <c r="D687">
        <v>53700008079</v>
      </c>
      <c r="E687" t="s">
        <v>38</v>
      </c>
      <c r="F687" t="s">
        <v>1532</v>
      </c>
      <c r="G687" t="s">
        <v>1533</v>
      </c>
      <c r="H687" s="1">
        <v>2325.7199999999998</v>
      </c>
      <c r="I687" t="s">
        <v>482</v>
      </c>
      <c r="J687" t="s">
        <v>56</v>
      </c>
      <c r="L687" t="s">
        <v>1534</v>
      </c>
      <c r="M687" s="1"/>
      <c r="N687" s="1"/>
      <c r="O687" t="s">
        <v>57</v>
      </c>
      <c r="P687" t="s">
        <v>26</v>
      </c>
    </row>
    <row r="688" spans="1:16" x14ac:dyDescent="0.2">
      <c r="A688" t="s">
        <v>50</v>
      </c>
      <c r="B688" t="s">
        <v>51</v>
      </c>
      <c r="C688" t="s">
        <v>481</v>
      </c>
      <c r="D688">
        <v>53700008079</v>
      </c>
      <c r="E688" t="s">
        <v>38</v>
      </c>
      <c r="F688" t="s">
        <v>1535</v>
      </c>
      <c r="G688" t="s">
        <v>1536</v>
      </c>
      <c r="H688" s="1">
        <v>3087.96</v>
      </c>
      <c r="I688" t="s">
        <v>482</v>
      </c>
      <c r="J688" t="s">
        <v>56</v>
      </c>
      <c r="L688" t="s">
        <v>1515</v>
      </c>
      <c r="M688" s="1"/>
      <c r="N688" s="1"/>
      <c r="O688" t="s">
        <v>57</v>
      </c>
      <c r="P688" t="s">
        <v>26</v>
      </c>
    </row>
    <row r="689" spans="1:16" x14ac:dyDescent="0.2">
      <c r="A689" t="s">
        <v>50</v>
      </c>
      <c r="B689" t="s">
        <v>51</v>
      </c>
      <c r="C689" t="s">
        <v>483</v>
      </c>
      <c r="D689">
        <v>53700011846</v>
      </c>
      <c r="E689" t="s">
        <v>71</v>
      </c>
      <c r="F689" t="s">
        <v>543</v>
      </c>
      <c r="G689" t="s">
        <v>544</v>
      </c>
      <c r="H689" s="1">
        <v>14.2</v>
      </c>
      <c r="I689" t="s">
        <v>486</v>
      </c>
      <c r="J689" t="s">
        <v>487</v>
      </c>
      <c r="L689" t="s">
        <v>488</v>
      </c>
      <c r="M689" s="1"/>
      <c r="N689" s="1"/>
      <c r="O689" t="s">
        <v>57</v>
      </c>
      <c r="P689" t="s">
        <v>26</v>
      </c>
    </row>
    <row r="690" spans="1:16" x14ac:dyDescent="0.2">
      <c r="A690" t="s">
        <v>50</v>
      </c>
      <c r="B690" t="s">
        <v>51</v>
      </c>
      <c r="C690" t="s">
        <v>483</v>
      </c>
      <c r="D690">
        <v>53700011846</v>
      </c>
      <c r="E690" t="s">
        <v>71</v>
      </c>
      <c r="F690" t="s">
        <v>20</v>
      </c>
      <c r="G690" t="s">
        <v>21</v>
      </c>
      <c r="H690" s="1">
        <v>3937.54</v>
      </c>
      <c r="I690" t="s">
        <v>486</v>
      </c>
      <c r="J690" t="s">
        <v>23</v>
      </c>
      <c r="L690" t="s">
        <v>24</v>
      </c>
      <c r="M690" s="1"/>
      <c r="N690" s="1"/>
      <c r="O690" t="s">
        <v>57</v>
      </c>
      <c r="P690" t="s">
        <v>26</v>
      </c>
    </row>
    <row r="691" spans="1:16" x14ac:dyDescent="0.2">
      <c r="A691" t="s">
        <v>50</v>
      </c>
      <c r="B691" t="s">
        <v>51</v>
      </c>
      <c r="C691" t="s">
        <v>483</v>
      </c>
      <c r="D691">
        <v>53700011846</v>
      </c>
      <c r="E691" t="s">
        <v>71</v>
      </c>
      <c r="F691" t="s">
        <v>1537</v>
      </c>
      <c r="G691" t="s">
        <v>1538</v>
      </c>
      <c r="H691" s="1">
        <v>9420</v>
      </c>
      <c r="I691" t="s">
        <v>486</v>
      </c>
      <c r="J691" t="s">
        <v>422</v>
      </c>
      <c r="L691" t="s">
        <v>1539</v>
      </c>
      <c r="M691" s="1"/>
      <c r="N691" s="1"/>
      <c r="O691" t="s">
        <v>57</v>
      </c>
      <c r="P691" t="s">
        <v>26</v>
      </c>
    </row>
    <row r="692" spans="1:16" x14ac:dyDescent="0.2">
      <c r="A692" t="s">
        <v>50</v>
      </c>
      <c r="B692" t="s">
        <v>51</v>
      </c>
      <c r="C692" t="s">
        <v>483</v>
      </c>
      <c r="D692">
        <v>53700011846</v>
      </c>
      <c r="E692" t="s">
        <v>71</v>
      </c>
      <c r="F692" t="s">
        <v>520</v>
      </c>
      <c r="G692" t="s">
        <v>521</v>
      </c>
      <c r="H692" s="1">
        <v>340</v>
      </c>
      <c r="I692" t="s">
        <v>486</v>
      </c>
      <c r="J692" t="s">
        <v>487</v>
      </c>
      <c r="L692" t="s">
        <v>488</v>
      </c>
      <c r="M692" s="1"/>
      <c r="N692" s="1"/>
      <c r="O692" t="s">
        <v>57</v>
      </c>
      <c r="P692" t="s">
        <v>26</v>
      </c>
    </row>
    <row r="693" spans="1:16" x14ac:dyDescent="0.2">
      <c r="A693" t="s">
        <v>50</v>
      </c>
      <c r="B693" t="s">
        <v>51</v>
      </c>
      <c r="C693" t="s">
        <v>483</v>
      </c>
      <c r="D693">
        <v>53700011846</v>
      </c>
      <c r="E693" t="s">
        <v>71</v>
      </c>
      <c r="F693" t="s">
        <v>1540</v>
      </c>
      <c r="G693" t="s">
        <v>1541</v>
      </c>
      <c r="H693" s="1">
        <v>35250.1</v>
      </c>
      <c r="I693" t="s">
        <v>486</v>
      </c>
      <c r="J693" t="s">
        <v>1508</v>
      </c>
      <c r="L693" t="s">
        <v>1542</v>
      </c>
      <c r="M693" s="1"/>
      <c r="N693" s="1"/>
      <c r="O693" t="s">
        <v>57</v>
      </c>
      <c r="P693" t="s">
        <v>26</v>
      </c>
    </row>
    <row r="694" spans="1:16" x14ac:dyDescent="0.2">
      <c r="A694" t="s">
        <v>50</v>
      </c>
      <c r="B694" t="s">
        <v>51</v>
      </c>
      <c r="C694" t="s">
        <v>483</v>
      </c>
      <c r="D694">
        <v>53700011846</v>
      </c>
      <c r="E694" t="s">
        <v>71</v>
      </c>
      <c r="F694" t="s">
        <v>1543</v>
      </c>
      <c r="G694" t="s">
        <v>1544</v>
      </c>
      <c r="H694" s="1">
        <v>26</v>
      </c>
      <c r="I694" t="s">
        <v>486</v>
      </c>
      <c r="M694" s="1"/>
      <c r="N694" s="1"/>
      <c r="O694" t="s">
        <v>57</v>
      </c>
      <c r="P694" t="s">
        <v>26</v>
      </c>
    </row>
    <row r="695" spans="1:16" x14ac:dyDescent="0.2">
      <c r="A695" t="s">
        <v>50</v>
      </c>
      <c r="B695" t="s">
        <v>51</v>
      </c>
      <c r="C695" t="s">
        <v>483</v>
      </c>
      <c r="D695">
        <v>53700011846</v>
      </c>
      <c r="E695" t="s">
        <v>71</v>
      </c>
      <c r="F695" t="s">
        <v>1545</v>
      </c>
      <c r="G695" t="s">
        <v>1546</v>
      </c>
      <c r="H695" s="1">
        <v>679.8</v>
      </c>
      <c r="I695" t="s">
        <v>486</v>
      </c>
      <c r="J695" t="s">
        <v>422</v>
      </c>
      <c r="M695" s="1"/>
      <c r="N695" s="1"/>
      <c r="O695" t="s">
        <v>57</v>
      </c>
      <c r="P695" t="s">
        <v>26</v>
      </c>
    </row>
    <row r="696" spans="1:16" x14ac:dyDescent="0.2">
      <c r="A696" t="s">
        <v>50</v>
      </c>
      <c r="B696" t="s">
        <v>51</v>
      </c>
      <c r="C696" t="s">
        <v>483</v>
      </c>
      <c r="D696">
        <v>53700011846</v>
      </c>
      <c r="E696" t="s">
        <v>71</v>
      </c>
      <c r="F696" t="s">
        <v>1547</v>
      </c>
      <c r="G696" t="s">
        <v>1548</v>
      </c>
      <c r="H696" s="1">
        <v>564.23</v>
      </c>
      <c r="I696" t="s">
        <v>486</v>
      </c>
      <c r="J696" t="s">
        <v>422</v>
      </c>
      <c r="L696" t="s">
        <v>415</v>
      </c>
      <c r="M696" s="1"/>
      <c r="N696" s="1"/>
      <c r="O696" t="s">
        <v>57</v>
      </c>
      <c r="P696" t="s">
        <v>26</v>
      </c>
    </row>
    <row r="697" spans="1:16" x14ac:dyDescent="0.2">
      <c r="A697" t="s">
        <v>50</v>
      </c>
      <c r="B697" t="s">
        <v>51</v>
      </c>
      <c r="C697" t="s">
        <v>483</v>
      </c>
      <c r="D697">
        <v>53700011846</v>
      </c>
      <c r="E697" t="s">
        <v>71</v>
      </c>
      <c r="F697" t="s">
        <v>1504</v>
      </c>
      <c r="G697" t="s">
        <v>1505</v>
      </c>
      <c r="H697" s="1">
        <v>5623.68</v>
      </c>
      <c r="I697" t="s">
        <v>486</v>
      </c>
      <c r="J697" t="s">
        <v>83</v>
      </c>
      <c r="L697" t="s">
        <v>415</v>
      </c>
      <c r="M697" s="1"/>
      <c r="N697" s="1"/>
      <c r="O697" t="s">
        <v>57</v>
      </c>
      <c r="P697" t="s">
        <v>26</v>
      </c>
    </row>
    <row r="698" spans="1:16" x14ac:dyDescent="0.2">
      <c r="A698" t="s">
        <v>50</v>
      </c>
      <c r="B698" t="s">
        <v>51</v>
      </c>
      <c r="C698" t="s">
        <v>483</v>
      </c>
      <c r="D698">
        <v>53700011846</v>
      </c>
      <c r="E698" t="s">
        <v>71</v>
      </c>
      <c r="F698" t="s">
        <v>1549</v>
      </c>
      <c r="G698" t="s">
        <v>1550</v>
      </c>
      <c r="H698" s="1">
        <v>289.2</v>
      </c>
      <c r="I698" t="s">
        <v>486</v>
      </c>
      <c r="J698" t="s">
        <v>487</v>
      </c>
      <c r="M698" s="1"/>
      <c r="N698" s="1"/>
      <c r="O698" t="s">
        <v>57</v>
      </c>
      <c r="P698" t="s">
        <v>26</v>
      </c>
    </row>
    <row r="699" spans="1:16" x14ac:dyDescent="0.2">
      <c r="A699" t="s">
        <v>50</v>
      </c>
      <c r="B699" t="s">
        <v>51</v>
      </c>
      <c r="C699" t="s">
        <v>483</v>
      </c>
      <c r="D699">
        <v>53700011846</v>
      </c>
      <c r="E699" t="s">
        <v>71</v>
      </c>
      <c r="F699" t="s">
        <v>1551</v>
      </c>
      <c r="G699" t="s">
        <v>1552</v>
      </c>
      <c r="H699" s="1">
        <v>1350.2</v>
      </c>
      <c r="I699" t="s">
        <v>486</v>
      </c>
      <c r="J699" t="s">
        <v>83</v>
      </c>
      <c r="L699" t="s">
        <v>488</v>
      </c>
      <c r="M699" s="1"/>
      <c r="N699" s="1"/>
      <c r="O699" t="s">
        <v>57</v>
      </c>
      <c r="P699" t="s">
        <v>26</v>
      </c>
    </row>
    <row r="700" spans="1:16" x14ac:dyDescent="0.2">
      <c r="A700" t="s">
        <v>50</v>
      </c>
      <c r="B700" t="s">
        <v>51</v>
      </c>
      <c r="C700" t="s">
        <v>483</v>
      </c>
      <c r="D700">
        <v>53700011846</v>
      </c>
      <c r="E700" t="s">
        <v>71</v>
      </c>
      <c r="F700" t="s">
        <v>1553</v>
      </c>
      <c r="G700" t="s">
        <v>1554</v>
      </c>
      <c r="H700" s="1">
        <v>9392.6200000000008</v>
      </c>
      <c r="I700" t="s">
        <v>486</v>
      </c>
      <c r="J700" t="s">
        <v>56</v>
      </c>
      <c r="L700" t="s">
        <v>1515</v>
      </c>
      <c r="M700" s="1"/>
      <c r="N700" s="1"/>
      <c r="O700" t="s">
        <v>57</v>
      </c>
      <c r="P700" t="s">
        <v>26</v>
      </c>
    </row>
    <row r="701" spans="1:16" x14ac:dyDescent="0.2">
      <c r="A701" t="s">
        <v>50</v>
      </c>
      <c r="B701" t="s">
        <v>51</v>
      </c>
      <c r="C701" t="s">
        <v>483</v>
      </c>
      <c r="D701">
        <v>53700011846</v>
      </c>
      <c r="E701" t="s">
        <v>71</v>
      </c>
      <c r="F701" t="s">
        <v>419</v>
      </c>
      <c r="G701" t="s">
        <v>420</v>
      </c>
      <c r="H701" s="1">
        <v>3930</v>
      </c>
      <c r="I701" t="s">
        <v>486</v>
      </c>
      <c r="J701" t="s">
        <v>422</v>
      </c>
      <c r="L701" t="s">
        <v>415</v>
      </c>
      <c r="M701" s="1"/>
      <c r="N701" s="1"/>
      <c r="O701" t="s">
        <v>57</v>
      </c>
      <c r="P701" t="s">
        <v>26</v>
      </c>
    </row>
    <row r="702" spans="1:16" x14ac:dyDescent="0.2">
      <c r="A702" t="s">
        <v>50</v>
      </c>
      <c r="B702" t="s">
        <v>51</v>
      </c>
      <c r="C702" t="s">
        <v>406</v>
      </c>
      <c r="D702">
        <v>53700007764</v>
      </c>
      <c r="E702" t="s">
        <v>71</v>
      </c>
      <c r="F702" t="s">
        <v>543</v>
      </c>
      <c r="G702" t="s">
        <v>544</v>
      </c>
      <c r="H702" s="1">
        <v>60</v>
      </c>
      <c r="I702" t="s">
        <v>407</v>
      </c>
      <c r="J702" t="s">
        <v>487</v>
      </c>
      <c r="L702" t="s">
        <v>488</v>
      </c>
      <c r="M702" s="1"/>
      <c r="N702" s="1"/>
      <c r="O702" t="s">
        <v>57</v>
      </c>
      <c r="P702" t="s">
        <v>26</v>
      </c>
    </row>
    <row r="703" spans="1:16" x14ac:dyDescent="0.2">
      <c r="A703" t="s">
        <v>50</v>
      </c>
      <c r="B703" t="s">
        <v>51</v>
      </c>
      <c r="C703" t="s">
        <v>406</v>
      </c>
      <c r="D703">
        <v>53700007764</v>
      </c>
      <c r="E703" t="s">
        <v>71</v>
      </c>
      <c r="F703" t="s">
        <v>1555</v>
      </c>
      <c r="G703" t="s">
        <v>1556</v>
      </c>
      <c r="H703" s="1">
        <v>5997.67</v>
      </c>
      <c r="I703" t="s">
        <v>407</v>
      </c>
      <c r="J703" t="s">
        <v>56</v>
      </c>
      <c r="L703" t="s">
        <v>1557</v>
      </c>
      <c r="M703" s="1"/>
      <c r="N703" s="1"/>
      <c r="O703" t="s">
        <v>57</v>
      </c>
      <c r="P703" t="s">
        <v>26</v>
      </c>
    </row>
    <row r="704" spans="1:16" x14ac:dyDescent="0.2">
      <c r="A704" t="s">
        <v>50</v>
      </c>
      <c r="B704" t="s">
        <v>51</v>
      </c>
      <c r="C704" t="s">
        <v>71</v>
      </c>
      <c r="D704">
        <v>53700012254</v>
      </c>
      <c r="E704" t="s">
        <v>71</v>
      </c>
      <c r="F704" t="s">
        <v>1558</v>
      </c>
      <c r="G704" t="s">
        <v>1559</v>
      </c>
      <c r="H704" s="1">
        <v>103287</v>
      </c>
      <c r="I704" t="s">
        <v>493</v>
      </c>
      <c r="J704" t="s">
        <v>56</v>
      </c>
      <c r="L704" t="s">
        <v>1509</v>
      </c>
      <c r="M704" s="1"/>
      <c r="N704" s="1"/>
      <c r="O704" t="s">
        <v>57</v>
      </c>
      <c r="P704" t="s">
        <v>26</v>
      </c>
    </row>
    <row r="705" spans="1:16" x14ac:dyDescent="0.2">
      <c r="A705" t="s">
        <v>50</v>
      </c>
      <c r="B705" t="s">
        <v>51</v>
      </c>
      <c r="C705" t="s">
        <v>71</v>
      </c>
      <c r="D705">
        <v>53700012254</v>
      </c>
      <c r="E705" t="s">
        <v>71</v>
      </c>
      <c r="F705" t="s">
        <v>20</v>
      </c>
      <c r="G705" t="s">
        <v>21</v>
      </c>
      <c r="H705" s="1">
        <v>-8.01</v>
      </c>
      <c r="I705" t="s">
        <v>493</v>
      </c>
      <c r="J705" t="s">
        <v>23</v>
      </c>
      <c r="L705" t="s">
        <v>24</v>
      </c>
      <c r="M705" s="1"/>
      <c r="N705" s="1"/>
      <c r="O705" t="s">
        <v>57</v>
      </c>
      <c r="P705" t="s">
        <v>26</v>
      </c>
    </row>
    <row r="706" spans="1:16" x14ac:dyDescent="0.2">
      <c r="A706" t="s">
        <v>50</v>
      </c>
      <c r="B706" t="s">
        <v>51</v>
      </c>
      <c r="C706" t="s">
        <v>495</v>
      </c>
      <c r="D706">
        <v>53700009254</v>
      </c>
      <c r="E706" t="s">
        <v>71</v>
      </c>
      <c r="F706" t="s">
        <v>1560</v>
      </c>
      <c r="G706" t="s">
        <v>1561</v>
      </c>
      <c r="H706" s="1">
        <v>180.95</v>
      </c>
      <c r="I706" t="s">
        <v>496</v>
      </c>
      <c r="J706" t="s">
        <v>1508</v>
      </c>
      <c r="L706" t="s">
        <v>1562</v>
      </c>
      <c r="M706" s="1"/>
      <c r="N706" s="1"/>
      <c r="O706" t="s">
        <v>57</v>
      </c>
      <c r="P706" t="s">
        <v>26</v>
      </c>
    </row>
    <row r="707" spans="1:16" x14ac:dyDescent="0.2">
      <c r="A707" t="s">
        <v>50</v>
      </c>
      <c r="B707" t="s">
        <v>51</v>
      </c>
      <c r="C707" t="s">
        <v>495</v>
      </c>
      <c r="D707">
        <v>53700009254</v>
      </c>
      <c r="E707" t="s">
        <v>71</v>
      </c>
      <c r="F707" t="s">
        <v>1563</v>
      </c>
      <c r="G707" t="s">
        <v>1564</v>
      </c>
      <c r="H707" s="1">
        <v>17402.2</v>
      </c>
      <c r="I707" t="s">
        <v>496</v>
      </c>
      <c r="J707" t="s">
        <v>1508</v>
      </c>
      <c r="L707" t="s">
        <v>1565</v>
      </c>
      <c r="M707" s="1"/>
      <c r="N707" s="1"/>
      <c r="O707" t="s">
        <v>57</v>
      </c>
      <c r="P707" t="s">
        <v>26</v>
      </c>
    </row>
    <row r="708" spans="1:16" x14ac:dyDescent="0.2">
      <c r="A708" t="s">
        <v>50</v>
      </c>
      <c r="B708" t="s">
        <v>51</v>
      </c>
      <c r="C708" t="s">
        <v>495</v>
      </c>
      <c r="D708">
        <v>53700009254</v>
      </c>
      <c r="E708" t="s">
        <v>71</v>
      </c>
      <c r="F708" t="s">
        <v>1566</v>
      </c>
      <c r="G708" t="s">
        <v>1567</v>
      </c>
      <c r="H708" s="1">
        <v>21378</v>
      </c>
      <c r="I708" t="s">
        <v>496</v>
      </c>
      <c r="J708" t="s">
        <v>56</v>
      </c>
      <c r="L708" t="s">
        <v>1509</v>
      </c>
      <c r="M708" s="1"/>
      <c r="N708" s="1"/>
      <c r="O708" t="s">
        <v>57</v>
      </c>
      <c r="P708" t="s">
        <v>26</v>
      </c>
    </row>
    <row r="709" spans="1:16" x14ac:dyDescent="0.2">
      <c r="A709" t="s">
        <v>50</v>
      </c>
      <c r="B709" t="s">
        <v>51</v>
      </c>
      <c r="C709" t="s">
        <v>504</v>
      </c>
      <c r="D709">
        <v>53700011136</v>
      </c>
      <c r="E709" t="s">
        <v>44</v>
      </c>
      <c r="F709" t="s">
        <v>53</v>
      </c>
      <c r="G709" t="s">
        <v>54</v>
      </c>
      <c r="H709" s="1">
        <v>8237.75</v>
      </c>
      <c r="I709" t="s">
        <v>505</v>
      </c>
      <c r="J709" t="s">
        <v>56</v>
      </c>
      <c r="L709" t="s">
        <v>40</v>
      </c>
      <c r="M709" s="1"/>
      <c r="N709" s="1"/>
      <c r="O709" t="s">
        <v>57</v>
      </c>
      <c r="P709" t="s">
        <v>26</v>
      </c>
    </row>
    <row r="710" spans="1:16" x14ac:dyDescent="0.2">
      <c r="A710" t="s">
        <v>50</v>
      </c>
      <c r="B710" t="s">
        <v>51</v>
      </c>
      <c r="C710" t="s">
        <v>506</v>
      </c>
      <c r="D710">
        <v>53700006604</v>
      </c>
      <c r="E710" t="s">
        <v>44</v>
      </c>
      <c r="F710" t="s">
        <v>53</v>
      </c>
      <c r="G710" t="s">
        <v>54</v>
      </c>
      <c r="H710" s="1">
        <v>5458.75</v>
      </c>
      <c r="I710" t="s">
        <v>507</v>
      </c>
      <c r="J710" t="s">
        <v>56</v>
      </c>
      <c r="L710" t="s">
        <v>40</v>
      </c>
      <c r="M710" s="1"/>
      <c r="N710" s="1"/>
      <c r="O710" t="s">
        <v>57</v>
      </c>
      <c r="P710" t="s">
        <v>26</v>
      </c>
    </row>
    <row r="711" spans="1:16" x14ac:dyDescent="0.2">
      <c r="A711" t="s">
        <v>50</v>
      </c>
      <c r="B711" t="s">
        <v>51</v>
      </c>
      <c r="C711" t="s">
        <v>386</v>
      </c>
      <c r="D711">
        <v>53700008043</v>
      </c>
      <c r="E711" t="s">
        <v>44</v>
      </c>
      <c r="F711" t="s">
        <v>53</v>
      </c>
      <c r="G711" t="s">
        <v>54</v>
      </c>
      <c r="H711" s="1">
        <v>471735</v>
      </c>
      <c r="I711" t="s">
        <v>387</v>
      </c>
      <c r="J711" t="s">
        <v>56</v>
      </c>
      <c r="L711" t="s">
        <v>40</v>
      </c>
      <c r="M711" s="1"/>
      <c r="N711" s="1"/>
      <c r="O711" t="s">
        <v>57</v>
      </c>
      <c r="P711" t="s">
        <v>26</v>
      </c>
    </row>
    <row r="712" spans="1:16" x14ac:dyDescent="0.2">
      <c r="A712" t="s">
        <v>50</v>
      </c>
      <c r="B712" t="s">
        <v>51</v>
      </c>
      <c r="C712" t="s">
        <v>513</v>
      </c>
      <c r="D712">
        <v>53700008046</v>
      </c>
      <c r="E712" t="s">
        <v>44</v>
      </c>
      <c r="F712" t="s">
        <v>53</v>
      </c>
      <c r="G712" t="s">
        <v>54</v>
      </c>
      <c r="H712" s="1">
        <v>1985.3</v>
      </c>
      <c r="I712" t="s">
        <v>514</v>
      </c>
      <c r="J712" t="s">
        <v>56</v>
      </c>
      <c r="L712" t="s">
        <v>40</v>
      </c>
      <c r="M712" s="1"/>
      <c r="N712" s="1"/>
      <c r="O712" t="s">
        <v>57</v>
      </c>
      <c r="P712" t="s">
        <v>26</v>
      </c>
    </row>
    <row r="713" spans="1:16" x14ac:dyDescent="0.2">
      <c r="A713" t="s">
        <v>50</v>
      </c>
      <c r="B713" t="s">
        <v>51</v>
      </c>
      <c r="C713" t="s">
        <v>52</v>
      </c>
      <c r="D713">
        <v>53700007260</v>
      </c>
      <c r="E713" t="s">
        <v>44</v>
      </c>
      <c r="F713" t="s">
        <v>20</v>
      </c>
      <c r="G713" t="s">
        <v>21</v>
      </c>
      <c r="H713" s="1">
        <v>979.86</v>
      </c>
      <c r="I713" t="s">
        <v>55</v>
      </c>
      <c r="J713" t="s">
        <v>23</v>
      </c>
      <c r="L713" t="s">
        <v>24</v>
      </c>
      <c r="M713" s="1"/>
      <c r="N713" s="1"/>
      <c r="O713" t="s">
        <v>57</v>
      </c>
      <c r="P713" t="s">
        <v>26</v>
      </c>
    </row>
    <row r="714" spans="1:16" x14ac:dyDescent="0.2">
      <c r="A714" t="s">
        <v>50</v>
      </c>
      <c r="B714" t="s">
        <v>51</v>
      </c>
      <c r="C714" t="s">
        <v>517</v>
      </c>
      <c r="D714">
        <v>53700008078</v>
      </c>
      <c r="E714" t="s">
        <v>44</v>
      </c>
      <c r="F714" t="s">
        <v>53</v>
      </c>
      <c r="G714" t="s">
        <v>54</v>
      </c>
      <c r="H714" s="1">
        <v>38211.199999999997</v>
      </c>
      <c r="I714" t="s">
        <v>518</v>
      </c>
      <c r="J714" t="s">
        <v>56</v>
      </c>
      <c r="L714" t="s">
        <v>40</v>
      </c>
      <c r="M714" s="1"/>
      <c r="N714" s="1"/>
      <c r="O714" t="s">
        <v>57</v>
      </c>
      <c r="P714" t="s">
        <v>26</v>
      </c>
    </row>
    <row r="715" spans="1:16" x14ac:dyDescent="0.2">
      <c r="A715" t="s">
        <v>50</v>
      </c>
      <c r="B715" t="s">
        <v>51</v>
      </c>
      <c r="C715" t="s">
        <v>519</v>
      </c>
      <c r="D715">
        <v>53700008873</v>
      </c>
      <c r="E715" t="s">
        <v>44</v>
      </c>
      <c r="F715" t="s">
        <v>1543</v>
      </c>
      <c r="G715" t="s">
        <v>1544</v>
      </c>
      <c r="H715" s="1">
        <v>52</v>
      </c>
      <c r="I715" t="s">
        <v>522</v>
      </c>
      <c r="M715" s="1"/>
      <c r="N715" s="1"/>
      <c r="O715" t="s">
        <v>57</v>
      </c>
      <c r="P715" t="s">
        <v>26</v>
      </c>
    </row>
    <row r="716" spans="1:16" x14ac:dyDescent="0.2">
      <c r="A716" t="s">
        <v>50</v>
      </c>
      <c r="B716" t="s">
        <v>51</v>
      </c>
      <c r="C716" t="s">
        <v>519</v>
      </c>
      <c r="D716">
        <v>53700008873</v>
      </c>
      <c r="E716" t="s">
        <v>44</v>
      </c>
      <c r="F716" t="s">
        <v>1568</v>
      </c>
      <c r="G716" t="s">
        <v>1569</v>
      </c>
      <c r="H716" s="1">
        <v>1590</v>
      </c>
      <c r="I716" t="s">
        <v>522</v>
      </c>
      <c r="J716" t="s">
        <v>422</v>
      </c>
      <c r="L716" t="s">
        <v>488</v>
      </c>
      <c r="M716" s="1"/>
      <c r="N716" s="1"/>
      <c r="O716" t="s">
        <v>57</v>
      </c>
      <c r="P716" t="s">
        <v>26</v>
      </c>
    </row>
    <row r="717" spans="1:16" x14ac:dyDescent="0.2">
      <c r="A717" t="s">
        <v>50</v>
      </c>
      <c r="B717" t="s">
        <v>51</v>
      </c>
      <c r="C717" t="s">
        <v>519</v>
      </c>
      <c r="D717">
        <v>53700008873</v>
      </c>
      <c r="E717" t="s">
        <v>44</v>
      </c>
      <c r="F717" t="s">
        <v>1570</v>
      </c>
      <c r="G717" t="s">
        <v>1571</v>
      </c>
      <c r="H717" s="1">
        <v>4020.4</v>
      </c>
      <c r="I717" t="s">
        <v>522</v>
      </c>
      <c r="J717" t="s">
        <v>422</v>
      </c>
      <c r="L717" t="s">
        <v>488</v>
      </c>
      <c r="M717" s="1"/>
      <c r="N717" s="1"/>
      <c r="O717" t="s">
        <v>57</v>
      </c>
      <c r="P717" t="s">
        <v>26</v>
      </c>
    </row>
    <row r="718" spans="1:16" x14ac:dyDescent="0.2">
      <c r="A718" t="s">
        <v>50</v>
      </c>
      <c r="B718" t="s">
        <v>51</v>
      </c>
      <c r="C718" t="s">
        <v>519</v>
      </c>
      <c r="D718">
        <v>53700008873</v>
      </c>
      <c r="E718" t="s">
        <v>44</v>
      </c>
      <c r="F718" t="s">
        <v>1572</v>
      </c>
      <c r="G718" t="s">
        <v>1573</v>
      </c>
      <c r="H718" s="1">
        <v>7448</v>
      </c>
      <c r="I718" t="s">
        <v>522</v>
      </c>
      <c r="J718" t="s">
        <v>422</v>
      </c>
      <c r="L718" t="s">
        <v>1539</v>
      </c>
      <c r="M718" s="1"/>
      <c r="N718" s="1"/>
      <c r="O718" t="s">
        <v>57</v>
      </c>
      <c r="P718" t="s">
        <v>26</v>
      </c>
    </row>
    <row r="719" spans="1:16" x14ac:dyDescent="0.2">
      <c r="A719" t="s">
        <v>50</v>
      </c>
      <c r="B719" t="s">
        <v>51</v>
      </c>
      <c r="C719" t="s">
        <v>519</v>
      </c>
      <c r="D719">
        <v>53700008873</v>
      </c>
      <c r="E719" t="s">
        <v>44</v>
      </c>
      <c r="F719" t="s">
        <v>20</v>
      </c>
      <c r="G719" t="s">
        <v>21</v>
      </c>
      <c r="H719" s="1">
        <v>2062</v>
      </c>
      <c r="I719" t="s">
        <v>522</v>
      </c>
      <c r="J719" t="s">
        <v>23</v>
      </c>
      <c r="L719" t="s">
        <v>24</v>
      </c>
      <c r="M719" s="1"/>
      <c r="N719" s="1"/>
      <c r="O719" t="s">
        <v>57</v>
      </c>
      <c r="P719" t="s">
        <v>26</v>
      </c>
    </row>
    <row r="720" spans="1:16" x14ac:dyDescent="0.2">
      <c r="A720" t="s">
        <v>50</v>
      </c>
      <c r="B720" t="s">
        <v>51</v>
      </c>
      <c r="C720" t="s">
        <v>525</v>
      </c>
      <c r="D720">
        <v>53700009587</v>
      </c>
      <c r="E720" t="s">
        <v>96</v>
      </c>
      <c r="F720" t="s">
        <v>456</v>
      </c>
      <c r="G720" t="s">
        <v>457</v>
      </c>
      <c r="H720" s="1">
        <v>2494.62</v>
      </c>
      <c r="I720" t="s">
        <v>526</v>
      </c>
      <c r="J720" t="s">
        <v>56</v>
      </c>
      <c r="L720" t="s">
        <v>40</v>
      </c>
      <c r="M720" s="1"/>
      <c r="N720" s="1"/>
      <c r="O720" t="s">
        <v>57</v>
      </c>
      <c r="P720" t="s">
        <v>26</v>
      </c>
    </row>
    <row r="721" spans="1:16" x14ac:dyDescent="0.2">
      <c r="A721" t="s">
        <v>50</v>
      </c>
      <c r="B721" t="s">
        <v>51</v>
      </c>
      <c r="C721" t="s">
        <v>527</v>
      </c>
      <c r="D721">
        <v>53700009825</v>
      </c>
      <c r="E721" t="s">
        <v>96</v>
      </c>
      <c r="F721" t="s">
        <v>1530</v>
      </c>
      <c r="G721" t="s">
        <v>1531</v>
      </c>
      <c r="H721" s="1">
        <v>5155.82</v>
      </c>
      <c r="I721" t="s">
        <v>528</v>
      </c>
      <c r="J721" t="s">
        <v>56</v>
      </c>
      <c r="L721" t="s">
        <v>1509</v>
      </c>
      <c r="M721" s="1"/>
      <c r="N721" s="1"/>
      <c r="O721" t="s">
        <v>57</v>
      </c>
      <c r="P721" t="s">
        <v>26</v>
      </c>
    </row>
    <row r="722" spans="1:16" x14ac:dyDescent="0.2">
      <c r="A722" t="s">
        <v>50</v>
      </c>
      <c r="B722" t="s">
        <v>51</v>
      </c>
      <c r="C722" t="s">
        <v>180</v>
      </c>
      <c r="D722">
        <v>53700011153</v>
      </c>
      <c r="E722" t="s">
        <v>96</v>
      </c>
      <c r="F722" t="s">
        <v>543</v>
      </c>
      <c r="G722" t="s">
        <v>544</v>
      </c>
      <c r="H722" s="1">
        <v>57.1</v>
      </c>
      <c r="I722" t="s">
        <v>531</v>
      </c>
      <c r="J722" t="s">
        <v>487</v>
      </c>
      <c r="L722" t="s">
        <v>488</v>
      </c>
      <c r="M722" s="1"/>
      <c r="N722" s="1"/>
      <c r="O722" t="s">
        <v>57</v>
      </c>
      <c r="P722" t="s">
        <v>26</v>
      </c>
    </row>
    <row r="723" spans="1:16" x14ac:dyDescent="0.2">
      <c r="A723" t="s">
        <v>50</v>
      </c>
      <c r="B723" t="s">
        <v>51</v>
      </c>
      <c r="C723" t="s">
        <v>532</v>
      </c>
      <c r="D723">
        <v>53700010398</v>
      </c>
      <c r="E723" t="s">
        <v>96</v>
      </c>
      <c r="F723" t="s">
        <v>53</v>
      </c>
      <c r="G723" t="s">
        <v>54</v>
      </c>
      <c r="H723" s="1">
        <v>97153</v>
      </c>
      <c r="I723" t="s">
        <v>533</v>
      </c>
      <c r="J723" t="s">
        <v>56</v>
      </c>
      <c r="L723" t="s">
        <v>40</v>
      </c>
      <c r="M723" s="1"/>
      <c r="N723" s="1"/>
      <c r="O723" t="s">
        <v>57</v>
      </c>
      <c r="P723" t="s">
        <v>26</v>
      </c>
    </row>
    <row r="724" spans="1:16" x14ac:dyDescent="0.2">
      <c r="A724" t="s">
        <v>50</v>
      </c>
      <c r="B724" t="s">
        <v>51</v>
      </c>
      <c r="C724" t="s">
        <v>534</v>
      </c>
      <c r="D724">
        <v>53700009526</v>
      </c>
      <c r="E724" t="s">
        <v>96</v>
      </c>
      <c r="F724" t="s">
        <v>456</v>
      </c>
      <c r="G724" t="s">
        <v>457</v>
      </c>
      <c r="H724" s="1">
        <v>113925</v>
      </c>
      <c r="I724" t="s">
        <v>535</v>
      </c>
      <c r="J724" t="s">
        <v>56</v>
      </c>
      <c r="L724" t="s">
        <v>40</v>
      </c>
      <c r="M724" s="1"/>
      <c r="N724" s="1"/>
      <c r="O724" t="s">
        <v>57</v>
      </c>
      <c r="P724" t="s">
        <v>26</v>
      </c>
    </row>
    <row r="725" spans="1:16" x14ac:dyDescent="0.2">
      <c r="A725" t="s">
        <v>50</v>
      </c>
      <c r="B725" t="s">
        <v>51</v>
      </c>
      <c r="C725" t="s">
        <v>302</v>
      </c>
      <c r="D725">
        <v>623355</v>
      </c>
      <c r="E725" t="s">
        <v>96</v>
      </c>
      <c r="F725" t="s">
        <v>585</v>
      </c>
      <c r="G725" t="s">
        <v>586</v>
      </c>
      <c r="H725" s="1">
        <v>278.3</v>
      </c>
      <c r="I725" t="s">
        <v>538</v>
      </c>
      <c r="J725" t="s">
        <v>23</v>
      </c>
      <c r="L725" t="s">
        <v>24</v>
      </c>
      <c r="M725" s="1"/>
      <c r="N725" s="1"/>
      <c r="O725" t="s">
        <v>57</v>
      </c>
      <c r="P725" t="s">
        <v>26</v>
      </c>
    </row>
    <row r="726" spans="1:16" x14ac:dyDescent="0.2">
      <c r="A726" t="s">
        <v>50</v>
      </c>
      <c r="B726" t="s">
        <v>51</v>
      </c>
      <c r="C726" t="s">
        <v>149</v>
      </c>
      <c r="D726">
        <v>53700008580</v>
      </c>
      <c r="E726" t="s">
        <v>96</v>
      </c>
      <c r="F726" t="s">
        <v>53</v>
      </c>
      <c r="G726" t="s">
        <v>54</v>
      </c>
      <c r="H726" s="1">
        <v>16793.099999999999</v>
      </c>
      <c r="I726" t="s">
        <v>539</v>
      </c>
      <c r="J726" t="s">
        <v>56</v>
      </c>
      <c r="L726" t="s">
        <v>40</v>
      </c>
      <c r="M726" s="1"/>
      <c r="N726" s="1"/>
      <c r="O726" t="s">
        <v>57</v>
      </c>
      <c r="P726" t="s">
        <v>26</v>
      </c>
    </row>
    <row r="727" spans="1:16" x14ac:dyDescent="0.2">
      <c r="A727" t="s">
        <v>50</v>
      </c>
      <c r="B727" t="s">
        <v>51</v>
      </c>
      <c r="C727" t="s">
        <v>540</v>
      </c>
      <c r="D727">
        <v>53700011224</v>
      </c>
      <c r="E727" t="s">
        <v>203</v>
      </c>
      <c r="F727" t="s">
        <v>1574</v>
      </c>
      <c r="G727" t="s">
        <v>1575</v>
      </c>
      <c r="H727" s="1">
        <v>28844.400000000001</v>
      </c>
      <c r="I727" t="s">
        <v>541</v>
      </c>
      <c r="J727" t="s">
        <v>56</v>
      </c>
      <c r="L727" t="s">
        <v>1534</v>
      </c>
      <c r="M727" s="1"/>
      <c r="N727" s="1"/>
      <c r="O727" t="s">
        <v>57</v>
      </c>
      <c r="P727" t="s">
        <v>26</v>
      </c>
    </row>
    <row r="728" spans="1:16" x14ac:dyDescent="0.2">
      <c r="A728" t="s">
        <v>50</v>
      </c>
      <c r="B728" t="s">
        <v>51</v>
      </c>
      <c r="C728" t="s">
        <v>540</v>
      </c>
      <c r="D728">
        <v>53700011224</v>
      </c>
      <c r="E728" t="s">
        <v>203</v>
      </c>
      <c r="F728" t="s">
        <v>1532</v>
      </c>
      <c r="G728" t="s">
        <v>1533</v>
      </c>
      <c r="H728" s="1">
        <v>29846.7</v>
      </c>
      <c r="I728" t="s">
        <v>541</v>
      </c>
      <c r="J728" t="s">
        <v>56</v>
      </c>
      <c r="L728" t="s">
        <v>1534</v>
      </c>
      <c r="M728" s="1"/>
      <c r="N728" s="1"/>
      <c r="O728" t="s">
        <v>57</v>
      </c>
      <c r="P728" t="s">
        <v>26</v>
      </c>
    </row>
    <row r="729" spans="1:16" x14ac:dyDescent="0.2">
      <c r="A729" t="s">
        <v>50</v>
      </c>
      <c r="B729" t="s">
        <v>51</v>
      </c>
      <c r="C729" t="s">
        <v>542</v>
      </c>
      <c r="D729">
        <v>53700006654</v>
      </c>
      <c r="E729" t="s">
        <v>203</v>
      </c>
      <c r="F729" t="s">
        <v>20</v>
      </c>
      <c r="G729" t="s">
        <v>21</v>
      </c>
      <c r="H729" s="1">
        <v>1.93</v>
      </c>
      <c r="I729" t="s">
        <v>545</v>
      </c>
      <c r="J729" t="s">
        <v>23</v>
      </c>
      <c r="L729" t="s">
        <v>24</v>
      </c>
      <c r="M729" s="1"/>
      <c r="N729" s="1"/>
      <c r="O729" t="s">
        <v>57</v>
      </c>
      <c r="P729" t="s">
        <v>26</v>
      </c>
    </row>
    <row r="730" spans="1:16" x14ac:dyDescent="0.2">
      <c r="A730" t="s">
        <v>50</v>
      </c>
      <c r="B730" t="s">
        <v>51</v>
      </c>
      <c r="C730" t="s">
        <v>550</v>
      </c>
      <c r="D730">
        <v>53700009802</v>
      </c>
      <c r="E730" t="s">
        <v>203</v>
      </c>
      <c r="F730" t="s">
        <v>1576</v>
      </c>
      <c r="G730" t="s">
        <v>1577</v>
      </c>
      <c r="H730" s="1">
        <v>871</v>
      </c>
      <c r="I730" t="s">
        <v>551</v>
      </c>
      <c r="J730" t="s">
        <v>422</v>
      </c>
      <c r="L730" t="s">
        <v>1578</v>
      </c>
      <c r="M730" s="1"/>
      <c r="N730" s="1"/>
      <c r="O730" t="s">
        <v>57</v>
      </c>
      <c r="P730" t="s">
        <v>26</v>
      </c>
    </row>
    <row r="731" spans="1:16" x14ac:dyDescent="0.2">
      <c r="A731" t="s">
        <v>50</v>
      </c>
      <c r="B731" t="s">
        <v>51</v>
      </c>
      <c r="C731" t="s">
        <v>552</v>
      </c>
      <c r="D731">
        <v>53700004084</v>
      </c>
      <c r="E731" t="s">
        <v>203</v>
      </c>
      <c r="F731" t="s">
        <v>1579</v>
      </c>
      <c r="G731" t="s">
        <v>1580</v>
      </c>
      <c r="H731" s="1">
        <v>14500.8</v>
      </c>
      <c r="I731" t="s">
        <v>553</v>
      </c>
      <c r="J731" t="s">
        <v>422</v>
      </c>
      <c r="L731" t="s">
        <v>415</v>
      </c>
      <c r="M731" s="1"/>
      <c r="N731" s="1"/>
      <c r="O731" t="s">
        <v>57</v>
      </c>
      <c r="P731" t="s">
        <v>26</v>
      </c>
    </row>
    <row r="732" spans="1:16" x14ac:dyDescent="0.2">
      <c r="A732" t="s">
        <v>50</v>
      </c>
      <c r="B732" t="s">
        <v>51</v>
      </c>
      <c r="C732" t="s">
        <v>554</v>
      </c>
      <c r="D732">
        <v>53700010363</v>
      </c>
      <c r="E732" t="s">
        <v>203</v>
      </c>
      <c r="F732" t="s">
        <v>20</v>
      </c>
      <c r="G732" t="s">
        <v>21</v>
      </c>
      <c r="H732" s="1">
        <v>147.32</v>
      </c>
      <c r="I732" t="s">
        <v>545</v>
      </c>
      <c r="J732" t="s">
        <v>23</v>
      </c>
      <c r="L732" t="s">
        <v>24</v>
      </c>
      <c r="M732" s="1"/>
      <c r="N732" s="1"/>
      <c r="O732" t="s">
        <v>57</v>
      </c>
      <c r="P732" t="s">
        <v>26</v>
      </c>
    </row>
    <row r="733" spans="1:16" x14ac:dyDescent="0.2">
      <c r="A733" t="s">
        <v>50</v>
      </c>
      <c r="B733" t="s">
        <v>51</v>
      </c>
      <c r="C733" t="s">
        <v>554</v>
      </c>
      <c r="D733">
        <v>53700010363</v>
      </c>
      <c r="E733" t="s">
        <v>203</v>
      </c>
      <c r="F733" t="s">
        <v>1543</v>
      </c>
      <c r="G733" t="s">
        <v>1544</v>
      </c>
      <c r="H733" s="1">
        <v>106.21</v>
      </c>
      <c r="I733" t="s">
        <v>545</v>
      </c>
      <c r="M733" s="1"/>
      <c r="N733" s="1"/>
      <c r="O733" t="s">
        <v>57</v>
      </c>
      <c r="P733" t="s">
        <v>26</v>
      </c>
    </row>
    <row r="734" spans="1:16" x14ac:dyDescent="0.2">
      <c r="A734" t="s">
        <v>50</v>
      </c>
      <c r="B734" t="s">
        <v>51</v>
      </c>
      <c r="C734" t="s">
        <v>555</v>
      </c>
      <c r="D734">
        <v>53700004147</v>
      </c>
      <c r="E734" t="s">
        <v>203</v>
      </c>
      <c r="F734" t="s">
        <v>1581</v>
      </c>
      <c r="G734" t="s">
        <v>1582</v>
      </c>
      <c r="H734" s="1">
        <v>969.6</v>
      </c>
      <c r="I734" t="s">
        <v>556</v>
      </c>
      <c r="J734" t="s">
        <v>487</v>
      </c>
      <c r="L734" t="s">
        <v>1578</v>
      </c>
      <c r="M734" s="1"/>
      <c r="N734" s="1"/>
      <c r="O734" t="s">
        <v>57</v>
      </c>
      <c r="P734" t="s">
        <v>26</v>
      </c>
    </row>
    <row r="735" spans="1:16" x14ac:dyDescent="0.2">
      <c r="A735" t="s">
        <v>50</v>
      </c>
      <c r="B735" t="s">
        <v>51</v>
      </c>
      <c r="C735" t="s">
        <v>555</v>
      </c>
      <c r="D735">
        <v>53700004147</v>
      </c>
      <c r="E735" t="s">
        <v>203</v>
      </c>
      <c r="F735" t="s">
        <v>1583</v>
      </c>
      <c r="G735" t="s">
        <v>1584</v>
      </c>
      <c r="H735" s="1">
        <v>1490.88</v>
      </c>
      <c r="I735" t="s">
        <v>556</v>
      </c>
      <c r="J735" t="s">
        <v>422</v>
      </c>
      <c r="L735" t="s">
        <v>1578</v>
      </c>
      <c r="M735" s="1"/>
      <c r="N735" s="1"/>
      <c r="O735" t="s">
        <v>57</v>
      </c>
      <c r="P735" t="s">
        <v>26</v>
      </c>
    </row>
    <row r="736" spans="1:16" x14ac:dyDescent="0.2">
      <c r="A736" t="s">
        <v>50</v>
      </c>
      <c r="B736" t="s">
        <v>51</v>
      </c>
      <c r="C736" t="s">
        <v>555</v>
      </c>
      <c r="D736">
        <v>53700004147</v>
      </c>
      <c r="E736" t="s">
        <v>203</v>
      </c>
      <c r="F736" t="s">
        <v>1585</v>
      </c>
      <c r="G736" t="s">
        <v>1586</v>
      </c>
      <c r="H736" s="1">
        <v>7324</v>
      </c>
      <c r="I736" t="s">
        <v>556</v>
      </c>
      <c r="J736" t="s">
        <v>487</v>
      </c>
      <c r="L736" t="s">
        <v>1587</v>
      </c>
      <c r="M736" s="1"/>
      <c r="N736" s="1"/>
      <c r="O736" t="s">
        <v>57</v>
      </c>
      <c r="P736" t="s">
        <v>26</v>
      </c>
    </row>
    <row r="737" spans="1:16" x14ac:dyDescent="0.2">
      <c r="A737" t="s">
        <v>50</v>
      </c>
      <c r="B737" t="s">
        <v>51</v>
      </c>
      <c r="C737" t="s">
        <v>555</v>
      </c>
      <c r="D737">
        <v>53700004147</v>
      </c>
      <c r="E737" t="s">
        <v>203</v>
      </c>
      <c r="F737" t="s">
        <v>1588</v>
      </c>
      <c r="G737" t="s">
        <v>1589</v>
      </c>
      <c r="H737" s="1">
        <v>9970</v>
      </c>
      <c r="I737" t="s">
        <v>556</v>
      </c>
      <c r="J737" t="s">
        <v>422</v>
      </c>
      <c r="L737" t="s">
        <v>1539</v>
      </c>
      <c r="M737" s="1"/>
      <c r="N737" s="1"/>
      <c r="O737" t="s">
        <v>57</v>
      </c>
      <c r="P737" t="s">
        <v>26</v>
      </c>
    </row>
    <row r="738" spans="1:16" x14ac:dyDescent="0.2">
      <c r="A738" t="s">
        <v>50</v>
      </c>
      <c r="B738" t="s">
        <v>51</v>
      </c>
      <c r="C738" t="s">
        <v>555</v>
      </c>
      <c r="D738">
        <v>53700004147</v>
      </c>
      <c r="E738" t="s">
        <v>203</v>
      </c>
      <c r="F738" t="s">
        <v>1590</v>
      </c>
      <c r="G738" t="s">
        <v>1591</v>
      </c>
      <c r="H738" s="1">
        <v>9768</v>
      </c>
      <c r="I738" t="s">
        <v>556</v>
      </c>
      <c r="J738" t="s">
        <v>487</v>
      </c>
      <c r="L738" t="s">
        <v>1587</v>
      </c>
      <c r="M738" s="1"/>
      <c r="N738" s="1"/>
      <c r="O738" t="s">
        <v>57</v>
      </c>
      <c r="P738" t="s">
        <v>26</v>
      </c>
    </row>
    <row r="739" spans="1:16" x14ac:dyDescent="0.2">
      <c r="A739" t="s">
        <v>50</v>
      </c>
      <c r="B739" t="s">
        <v>51</v>
      </c>
      <c r="C739" t="s">
        <v>555</v>
      </c>
      <c r="D739">
        <v>53700004147</v>
      </c>
      <c r="E739" t="s">
        <v>203</v>
      </c>
      <c r="F739" t="s">
        <v>1572</v>
      </c>
      <c r="G739" t="s">
        <v>1573</v>
      </c>
      <c r="H739" s="1">
        <v>8937.6</v>
      </c>
      <c r="I739" t="s">
        <v>556</v>
      </c>
      <c r="J739" t="s">
        <v>422</v>
      </c>
      <c r="L739" t="s">
        <v>1539</v>
      </c>
      <c r="M739" s="1"/>
      <c r="N739" s="1"/>
      <c r="O739" t="s">
        <v>57</v>
      </c>
      <c r="P739" t="s">
        <v>26</v>
      </c>
    </row>
    <row r="740" spans="1:16" x14ac:dyDescent="0.2">
      <c r="A740" t="s">
        <v>50</v>
      </c>
      <c r="B740" t="s">
        <v>51</v>
      </c>
      <c r="C740" t="s">
        <v>557</v>
      </c>
      <c r="D740">
        <v>53700011150</v>
      </c>
      <c r="E740" t="s">
        <v>203</v>
      </c>
      <c r="F740" t="s">
        <v>1581</v>
      </c>
      <c r="G740" t="s">
        <v>1582</v>
      </c>
      <c r="H740" s="1">
        <v>393.9</v>
      </c>
      <c r="I740" t="s">
        <v>558</v>
      </c>
      <c r="J740" t="s">
        <v>487</v>
      </c>
      <c r="L740" t="s">
        <v>1578</v>
      </c>
      <c r="M740" s="1"/>
      <c r="N740" s="1"/>
      <c r="O740" t="s">
        <v>57</v>
      </c>
      <c r="P740" t="s">
        <v>26</v>
      </c>
    </row>
    <row r="741" spans="1:16" x14ac:dyDescent="0.2">
      <c r="A741" t="s">
        <v>50</v>
      </c>
      <c r="B741" t="s">
        <v>51</v>
      </c>
      <c r="C741" t="s">
        <v>557</v>
      </c>
      <c r="D741">
        <v>53700011150</v>
      </c>
      <c r="E741" t="s">
        <v>203</v>
      </c>
      <c r="F741" t="s">
        <v>1590</v>
      </c>
      <c r="G741" t="s">
        <v>1591</v>
      </c>
      <c r="H741" s="1">
        <v>4884</v>
      </c>
      <c r="I741" t="s">
        <v>558</v>
      </c>
      <c r="J741" t="s">
        <v>487</v>
      </c>
      <c r="L741" t="s">
        <v>1587</v>
      </c>
      <c r="M741" s="1"/>
      <c r="N741" s="1"/>
      <c r="O741" t="s">
        <v>57</v>
      </c>
      <c r="P741" t="s">
        <v>26</v>
      </c>
    </row>
    <row r="742" spans="1:16" x14ac:dyDescent="0.2">
      <c r="A742" t="s">
        <v>50</v>
      </c>
      <c r="B742" t="s">
        <v>51</v>
      </c>
      <c r="C742" t="s">
        <v>559</v>
      </c>
      <c r="D742">
        <v>53700009970</v>
      </c>
      <c r="E742" t="s">
        <v>203</v>
      </c>
      <c r="F742" t="s">
        <v>1590</v>
      </c>
      <c r="G742" t="s">
        <v>1591</v>
      </c>
      <c r="H742" s="1">
        <v>11701.2</v>
      </c>
      <c r="I742" t="s">
        <v>560</v>
      </c>
      <c r="J742" t="s">
        <v>487</v>
      </c>
      <c r="L742" t="s">
        <v>1587</v>
      </c>
      <c r="M742" s="1"/>
      <c r="N742" s="1"/>
      <c r="O742" t="s">
        <v>57</v>
      </c>
      <c r="P742" t="s">
        <v>26</v>
      </c>
    </row>
    <row r="743" spans="1:16" x14ac:dyDescent="0.2">
      <c r="A743" t="s">
        <v>50</v>
      </c>
      <c r="B743" t="s">
        <v>51</v>
      </c>
      <c r="C743" t="s">
        <v>561</v>
      </c>
      <c r="D743">
        <v>53700010783</v>
      </c>
      <c r="E743" t="s">
        <v>203</v>
      </c>
      <c r="F743" t="s">
        <v>20</v>
      </c>
      <c r="G743" t="s">
        <v>21</v>
      </c>
      <c r="H743" s="1">
        <v>6.82</v>
      </c>
      <c r="I743" t="s">
        <v>562</v>
      </c>
      <c r="J743" t="s">
        <v>23</v>
      </c>
      <c r="L743" t="s">
        <v>24</v>
      </c>
      <c r="M743" s="1"/>
      <c r="N743" s="1"/>
      <c r="O743" t="s">
        <v>57</v>
      </c>
      <c r="P743" t="s">
        <v>26</v>
      </c>
    </row>
    <row r="744" spans="1:16" x14ac:dyDescent="0.2">
      <c r="A744" t="s">
        <v>50</v>
      </c>
      <c r="B744" t="s">
        <v>51</v>
      </c>
      <c r="C744" t="s">
        <v>563</v>
      </c>
      <c r="D744">
        <v>53700010378</v>
      </c>
      <c r="E744" t="s">
        <v>203</v>
      </c>
      <c r="F744" t="s">
        <v>20</v>
      </c>
      <c r="G744" t="s">
        <v>21</v>
      </c>
      <c r="H744" s="1">
        <v>1048.9000000000001</v>
      </c>
      <c r="I744" t="s">
        <v>545</v>
      </c>
      <c r="J744" t="s">
        <v>23</v>
      </c>
      <c r="L744" t="s">
        <v>24</v>
      </c>
      <c r="M744" s="1"/>
      <c r="N744" s="1"/>
      <c r="O744" t="s">
        <v>57</v>
      </c>
      <c r="P744" t="s">
        <v>26</v>
      </c>
    </row>
    <row r="745" spans="1:16" x14ac:dyDescent="0.2">
      <c r="A745" t="s">
        <v>50</v>
      </c>
      <c r="B745" t="s">
        <v>51</v>
      </c>
      <c r="C745" t="s">
        <v>564</v>
      </c>
      <c r="D745">
        <v>53700007124</v>
      </c>
      <c r="E745" t="s">
        <v>203</v>
      </c>
      <c r="F745" t="s">
        <v>520</v>
      </c>
      <c r="G745" t="s">
        <v>521</v>
      </c>
      <c r="H745" s="1">
        <v>1215.5</v>
      </c>
      <c r="I745" t="s">
        <v>565</v>
      </c>
      <c r="J745" t="s">
        <v>487</v>
      </c>
      <c r="L745" t="s">
        <v>488</v>
      </c>
      <c r="M745" s="1"/>
      <c r="N745" s="1"/>
      <c r="O745" t="s">
        <v>57</v>
      </c>
      <c r="P745" t="s">
        <v>26</v>
      </c>
    </row>
    <row r="746" spans="1:16" x14ac:dyDescent="0.2">
      <c r="A746" t="s">
        <v>50</v>
      </c>
      <c r="B746" t="s">
        <v>51</v>
      </c>
      <c r="C746" t="s">
        <v>564</v>
      </c>
      <c r="D746">
        <v>53700007124</v>
      </c>
      <c r="E746" t="s">
        <v>203</v>
      </c>
      <c r="F746" t="s">
        <v>1592</v>
      </c>
      <c r="G746" t="s">
        <v>1593</v>
      </c>
      <c r="H746" s="1">
        <v>15047.5</v>
      </c>
      <c r="I746" t="s">
        <v>565</v>
      </c>
      <c r="J746" t="s">
        <v>422</v>
      </c>
      <c r="L746" t="s">
        <v>1578</v>
      </c>
      <c r="M746" s="1"/>
      <c r="N746" s="1"/>
      <c r="O746" t="s">
        <v>57</v>
      </c>
      <c r="P746" t="s">
        <v>26</v>
      </c>
    </row>
    <row r="747" spans="1:16" x14ac:dyDescent="0.2">
      <c r="A747" t="s">
        <v>50</v>
      </c>
      <c r="B747" t="s">
        <v>51</v>
      </c>
      <c r="C747" t="s">
        <v>566</v>
      </c>
      <c r="D747">
        <v>53700009352</v>
      </c>
      <c r="E747" t="s">
        <v>203</v>
      </c>
      <c r="F747" t="s">
        <v>1594</v>
      </c>
      <c r="G747" t="s">
        <v>1595</v>
      </c>
      <c r="H747" s="1">
        <v>2664.2</v>
      </c>
      <c r="I747" t="s">
        <v>545</v>
      </c>
      <c r="J747" t="s">
        <v>422</v>
      </c>
      <c r="L747" t="s">
        <v>488</v>
      </c>
      <c r="M747" s="1"/>
      <c r="N747" s="1"/>
      <c r="O747" t="s">
        <v>57</v>
      </c>
      <c r="P747" t="s">
        <v>26</v>
      </c>
    </row>
    <row r="748" spans="1:16" x14ac:dyDescent="0.2">
      <c r="A748" t="s">
        <v>50</v>
      </c>
      <c r="B748" t="s">
        <v>51</v>
      </c>
      <c r="C748" t="s">
        <v>566</v>
      </c>
      <c r="D748">
        <v>53700009352</v>
      </c>
      <c r="E748" t="s">
        <v>203</v>
      </c>
      <c r="F748" t="s">
        <v>1543</v>
      </c>
      <c r="G748" t="s">
        <v>1544</v>
      </c>
      <c r="H748" s="1">
        <v>125.45</v>
      </c>
      <c r="I748" t="s">
        <v>545</v>
      </c>
      <c r="M748" s="1"/>
      <c r="N748" s="1"/>
      <c r="O748" t="s">
        <v>57</v>
      </c>
      <c r="P748" t="s">
        <v>26</v>
      </c>
    </row>
    <row r="749" spans="1:16" x14ac:dyDescent="0.2">
      <c r="A749" t="s">
        <v>50</v>
      </c>
      <c r="B749" t="s">
        <v>51</v>
      </c>
      <c r="C749" t="s">
        <v>567</v>
      </c>
      <c r="D749">
        <v>53700005870</v>
      </c>
      <c r="E749" t="s">
        <v>203</v>
      </c>
      <c r="F749" t="s">
        <v>1572</v>
      </c>
      <c r="G749" t="s">
        <v>1573</v>
      </c>
      <c r="H749" s="1">
        <v>21487.5</v>
      </c>
      <c r="I749" t="s">
        <v>545</v>
      </c>
      <c r="J749" t="s">
        <v>422</v>
      </c>
      <c r="L749" t="s">
        <v>1539</v>
      </c>
      <c r="M749" s="1"/>
      <c r="N749" s="1"/>
      <c r="O749" t="s">
        <v>57</v>
      </c>
      <c r="P749" t="s">
        <v>26</v>
      </c>
    </row>
    <row r="750" spans="1:16" x14ac:dyDescent="0.2">
      <c r="A750" t="s">
        <v>50</v>
      </c>
      <c r="B750" t="s">
        <v>51</v>
      </c>
      <c r="C750" t="s">
        <v>568</v>
      </c>
      <c r="D750">
        <v>53700008555</v>
      </c>
      <c r="E750" t="s">
        <v>203</v>
      </c>
      <c r="F750" t="s">
        <v>1596</v>
      </c>
      <c r="G750" t="s">
        <v>1597</v>
      </c>
      <c r="H750" s="1">
        <v>9369</v>
      </c>
      <c r="I750" t="s">
        <v>569</v>
      </c>
      <c r="J750" t="s">
        <v>422</v>
      </c>
      <c r="L750" t="s">
        <v>415</v>
      </c>
      <c r="M750" s="1"/>
      <c r="N750" s="1"/>
      <c r="O750" t="s">
        <v>57</v>
      </c>
      <c r="P750" t="s">
        <v>26</v>
      </c>
    </row>
    <row r="751" spans="1:16" x14ac:dyDescent="0.2">
      <c r="A751" t="s">
        <v>50</v>
      </c>
      <c r="B751" t="s">
        <v>51</v>
      </c>
      <c r="C751" t="s">
        <v>568</v>
      </c>
      <c r="D751">
        <v>53700008555</v>
      </c>
      <c r="E751" t="s">
        <v>203</v>
      </c>
      <c r="F751" t="s">
        <v>1598</v>
      </c>
      <c r="G751" t="s">
        <v>1599</v>
      </c>
      <c r="H751" s="1">
        <v>9652</v>
      </c>
      <c r="I751" t="s">
        <v>569</v>
      </c>
      <c r="J751" t="s">
        <v>422</v>
      </c>
      <c r="L751" t="s">
        <v>415</v>
      </c>
      <c r="M751" s="1"/>
      <c r="N751" s="1"/>
      <c r="O751" t="s">
        <v>57</v>
      </c>
      <c r="P751" t="s">
        <v>26</v>
      </c>
    </row>
    <row r="752" spans="1:16" x14ac:dyDescent="0.2">
      <c r="A752" t="s">
        <v>50</v>
      </c>
      <c r="B752" t="s">
        <v>51</v>
      </c>
      <c r="C752" t="s">
        <v>568</v>
      </c>
      <c r="D752">
        <v>53700008555</v>
      </c>
      <c r="E752" t="s">
        <v>203</v>
      </c>
      <c r="F752" t="s">
        <v>1600</v>
      </c>
      <c r="G752" t="s">
        <v>1601</v>
      </c>
      <c r="H752" s="1">
        <v>8256</v>
      </c>
      <c r="I752" t="s">
        <v>569</v>
      </c>
      <c r="J752" t="s">
        <v>487</v>
      </c>
      <c r="L752" t="s">
        <v>1587</v>
      </c>
      <c r="M752" s="1"/>
      <c r="N752" s="1"/>
      <c r="O752" t="s">
        <v>57</v>
      </c>
      <c r="P752" t="s">
        <v>26</v>
      </c>
    </row>
    <row r="753" spans="1:16" x14ac:dyDescent="0.2">
      <c r="A753" t="s">
        <v>50</v>
      </c>
      <c r="B753" t="s">
        <v>51</v>
      </c>
      <c r="C753" t="s">
        <v>573</v>
      </c>
      <c r="D753">
        <v>53700011067</v>
      </c>
      <c r="E753" t="s">
        <v>31</v>
      </c>
      <c r="F753" t="s">
        <v>20</v>
      </c>
      <c r="G753" t="s">
        <v>21</v>
      </c>
      <c r="H753" s="1">
        <v>494.51</v>
      </c>
      <c r="I753" t="s">
        <v>572</v>
      </c>
      <c r="J753" t="s">
        <v>23</v>
      </c>
      <c r="L753" t="s">
        <v>24</v>
      </c>
      <c r="M753" s="1"/>
      <c r="N753" s="1"/>
      <c r="O753" t="s">
        <v>57</v>
      </c>
      <c r="P753" t="s">
        <v>26</v>
      </c>
    </row>
    <row r="754" spans="1:16" x14ac:dyDescent="0.2">
      <c r="A754" t="s">
        <v>16</v>
      </c>
      <c r="B754" t="s">
        <v>58</v>
      </c>
      <c r="C754" t="s">
        <v>580</v>
      </c>
      <c r="D754">
        <v>114204101</v>
      </c>
      <c r="E754" t="s">
        <v>256</v>
      </c>
      <c r="F754" t="s">
        <v>1602</v>
      </c>
      <c r="G754" t="s">
        <v>1603</v>
      </c>
      <c r="H754" s="1">
        <v>78258.899999999994</v>
      </c>
      <c r="I754" t="s">
        <v>581</v>
      </c>
      <c r="J754" t="s">
        <v>56</v>
      </c>
      <c r="L754" t="s">
        <v>40</v>
      </c>
      <c r="M754" s="1"/>
      <c r="N754" s="1"/>
      <c r="O754" t="s">
        <v>57</v>
      </c>
      <c r="P754" t="s">
        <v>26</v>
      </c>
    </row>
    <row r="755" spans="1:16" x14ac:dyDescent="0.2">
      <c r="A755" t="s">
        <v>16</v>
      </c>
      <c r="B755" t="s">
        <v>58</v>
      </c>
      <c r="C755" t="s">
        <v>90</v>
      </c>
      <c r="D755">
        <v>346607</v>
      </c>
      <c r="E755" t="s">
        <v>71</v>
      </c>
      <c r="F755" t="s">
        <v>1604</v>
      </c>
      <c r="G755" t="s">
        <v>1605</v>
      </c>
      <c r="H755" s="1">
        <v>56530.9</v>
      </c>
      <c r="I755" t="s">
        <v>582</v>
      </c>
      <c r="J755" t="s">
        <v>56</v>
      </c>
      <c r="L755" t="s">
        <v>1606</v>
      </c>
      <c r="M755" s="1"/>
      <c r="N755" s="1"/>
      <c r="O755" t="s">
        <v>57</v>
      </c>
      <c r="P755" t="s">
        <v>26</v>
      </c>
    </row>
    <row r="756" spans="1:16" x14ac:dyDescent="0.2">
      <c r="A756" t="s">
        <v>16</v>
      </c>
      <c r="B756" t="s">
        <v>58</v>
      </c>
      <c r="C756" t="s">
        <v>90</v>
      </c>
      <c r="D756">
        <v>346607</v>
      </c>
      <c r="E756" t="s">
        <v>71</v>
      </c>
      <c r="F756" t="s">
        <v>1607</v>
      </c>
      <c r="G756" t="s">
        <v>1608</v>
      </c>
      <c r="H756" s="1">
        <v>7338.49</v>
      </c>
      <c r="I756" t="s">
        <v>582</v>
      </c>
      <c r="J756" t="s">
        <v>56</v>
      </c>
      <c r="L756" t="s">
        <v>1606</v>
      </c>
      <c r="M756" s="1"/>
      <c r="N756" s="1"/>
      <c r="O756" t="s">
        <v>57</v>
      </c>
      <c r="P756" t="s">
        <v>26</v>
      </c>
    </row>
    <row r="757" spans="1:16" x14ac:dyDescent="0.2">
      <c r="A757" t="s">
        <v>16</v>
      </c>
      <c r="B757" t="s">
        <v>58</v>
      </c>
      <c r="C757" t="s">
        <v>587</v>
      </c>
      <c r="D757">
        <v>700070504</v>
      </c>
      <c r="E757" t="s">
        <v>71</v>
      </c>
      <c r="F757" t="s">
        <v>1609</v>
      </c>
      <c r="G757" t="s">
        <v>1610</v>
      </c>
      <c r="H757" s="1">
        <v>140815</v>
      </c>
      <c r="I757" t="s">
        <v>588</v>
      </c>
      <c r="J757" t="s">
        <v>1508</v>
      </c>
      <c r="L757" t="s">
        <v>1611</v>
      </c>
      <c r="M757" s="1"/>
      <c r="N757" s="1"/>
      <c r="O757" t="s">
        <v>57</v>
      </c>
      <c r="P757" t="s">
        <v>26</v>
      </c>
    </row>
    <row r="758" spans="1:16" x14ac:dyDescent="0.2">
      <c r="A758" t="s">
        <v>16</v>
      </c>
      <c r="B758" t="s">
        <v>58</v>
      </c>
      <c r="C758" t="s">
        <v>587</v>
      </c>
      <c r="D758">
        <v>700070504</v>
      </c>
      <c r="E758" t="s">
        <v>71</v>
      </c>
      <c r="F758" t="s">
        <v>1612</v>
      </c>
      <c r="G758" t="s">
        <v>1613</v>
      </c>
      <c r="H758" s="1">
        <v>158227</v>
      </c>
      <c r="I758" t="s">
        <v>588</v>
      </c>
      <c r="J758" t="s">
        <v>1508</v>
      </c>
      <c r="L758" t="s">
        <v>1614</v>
      </c>
      <c r="M758" s="1"/>
      <c r="N758" s="1"/>
      <c r="O758" t="s">
        <v>57</v>
      </c>
      <c r="P758" t="s">
        <v>26</v>
      </c>
    </row>
    <row r="759" spans="1:16" x14ac:dyDescent="0.2">
      <c r="A759" t="s">
        <v>16</v>
      </c>
      <c r="B759" t="s">
        <v>58</v>
      </c>
      <c r="C759" t="s">
        <v>587</v>
      </c>
      <c r="D759">
        <v>700070504</v>
      </c>
      <c r="E759" t="s">
        <v>71</v>
      </c>
      <c r="F759" t="s">
        <v>53</v>
      </c>
      <c r="G759" t="s">
        <v>54</v>
      </c>
      <c r="H759" s="1">
        <v>316512</v>
      </c>
      <c r="I759" t="s">
        <v>588</v>
      </c>
      <c r="J759" t="s">
        <v>56</v>
      </c>
      <c r="L759" t="s">
        <v>40</v>
      </c>
      <c r="M759" s="1"/>
      <c r="N759" s="1"/>
      <c r="O759" t="s">
        <v>57</v>
      </c>
      <c r="P759" t="s">
        <v>26</v>
      </c>
    </row>
    <row r="760" spans="1:16" x14ac:dyDescent="0.2">
      <c r="A760" t="s">
        <v>16</v>
      </c>
      <c r="B760" t="s">
        <v>58</v>
      </c>
      <c r="C760" t="s">
        <v>587</v>
      </c>
      <c r="D760">
        <v>700070504</v>
      </c>
      <c r="E760" t="s">
        <v>71</v>
      </c>
      <c r="F760" t="s">
        <v>1604</v>
      </c>
      <c r="G760" t="s">
        <v>1605</v>
      </c>
      <c r="H760" s="1">
        <v>286532</v>
      </c>
      <c r="I760" t="s">
        <v>588</v>
      </c>
      <c r="J760" t="s">
        <v>56</v>
      </c>
      <c r="L760" t="s">
        <v>1606</v>
      </c>
      <c r="M760" s="1"/>
      <c r="N760" s="1"/>
      <c r="O760" t="s">
        <v>57</v>
      </c>
      <c r="P760" t="s">
        <v>26</v>
      </c>
    </row>
    <row r="761" spans="1:16" x14ac:dyDescent="0.2">
      <c r="A761" t="s">
        <v>16</v>
      </c>
      <c r="B761" t="s">
        <v>58</v>
      </c>
      <c r="C761" t="s">
        <v>587</v>
      </c>
      <c r="D761">
        <v>700070504</v>
      </c>
      <c r="E761" t="s">
        <v>71</v>
      </c>
      <c r="F761" t="s">
        <v>1615</v>
      </c>
      <c r="G761" t="s">
        <v>1616</v>
      </c>
      <c r="H761" s="1">
        <v>113580</v>
      </c>
      <c r="I761" t="s">
        <v>588</v>
      </c>
      <c r="J761" t="s">
        <v>56</v>
      </c>
      <c r="L761" t="s">
        <v>1617</v>
      </c>
      <c r="M761" s="1"/>
      <c r="N761" s="1"/>
      <c r="O761" t="s">
        <v>57</v>
      </c>
      <c r="P761" t="s">
        <v>26</v>
      </c>
    </row>
    <row r="762" spans="1:16" x14ac:dyDescent="0.2">
      <c r="A762" t="s">
        <v>16</v>
      </c>
      <c r="B762" t="s">
        <v>58</v>
      </c>
      <c r="C762" t="s">
        <v>587</v>
      </c>
      <c r="D762">
        <v>700070504</v>
      </c>
      <c r="E762" t="s">
        <v>71</v>
      </c>
      <c r="F762" t="s">
        <v>1618</v>
      </c>
      <c r="G762" t="s">
        <v>1619</v>
      </c>
      <c r="H762" s="1">
        <v>28299.200000000001</v>
      </c>
      <c r="I762" t="s">
        <v>588</v>
      </c>
      <c r="J762" t="s">
        <v>56</v>
      </c>
      <c r="L762" t="s">
        <v>1620</v>
      </c>
      <c r="M762" s="1"/>
      <c r="N762" s="1"/>
      <c r="O762" t="s">
        <v>57</v>
      </c>
      <c r="P762" t="s">
        <v>26</v>
      </c>
    </row>
    <row r="763" spans="1:16" x14ac:dyDescent="0.2">
      <c r="A763" t="s">
        <v>16</v>
      </c>
      <c r="B763" t="s">
        <v>58</v>
      </c>
      <c r="C763" t="s">
        <v>587</v>
      </c>
      <c r="D763">
        <v>700070504</v>
      </c>
      <c r="E763" t="s">
        <v>71</v>
      </c>
      <c r="F763" t="s">
        <v>1607</v>
      </c>
      <c r="G763" t="s">
        <v>1608</v>
      </c>
      <c r="H763" s="1">
        <v>23204.7</v>
      </c>
      <c r="I763" t="s">
        <v>588</v>
      </c>
      <c r="J763" t="s">
        <v>56</v>
      </c>
      <c r="L763" t="s">
        <v>1606</v>
      </c>
      <c r="M763" s="1"/>
      <c r="N763" s="1"/>
      <c r="O763" t="s">
        <v>57</v>
      </c>
      <c r="P763" t="s">
        <v>26</v>
      </c>
    </row>
    <row r="764" spans="1:16" x14ac:dyDescent="0.2">
      <c r="A764" t="s">
        <v>16</v>
      </c>
      <c r="B764" t="s">
        <v>58</v>
      </c>
      <c r="C764" t="s">
        <v>587</v>
      </c>
      <c r="D764">
        <v>700070504</v>
      </c>
      <c r="E764" t="s">
        <v>71</v>
      </c>
      <c r="F764" t="s">
        <v>1621</v>
      </c>
      <c r="G764" t="s">
        <v>1622</v>
      </c>
      <c r="H764" s="1">
        <v>53358.6</v>
      </c>
      <c r="I764" t="s">
        <v>588</v>
      </c>
      <c r="J764" t="s">
        <v>56</v>
      </c>
      <c r="L764" t="s">
        <v>40</v>
      </c>
      <c r="M764" s="1"/>
      <c r="N764" s="1"/>
      <c r="O764" t="s">
        <v>57</v>
      </c>
      <c r="P764" t="s">
        <v>26</v>
      </c>
    </row>
    <row r="765" spans="1:16" x14ac:dyDescent="0.2">
      <c r="A765" t="s">
        <v>16</v>
      </c>
      <c r="B765" t="s">
        <v>58</v>
      </c>
      <c r="C765" t="s">
        <v>587</v>
      </c>
      <c r="D765">
        <v>700070504</v>
      </c>
      <c r="E765" t="s">
        <v>71</v>
      </c>
      <c r="F765" t="s">
        <v>1623</v>
      </c>
      <c r="G765" t="s">
        <v>1624</v>
      </c>
      <c r="H765" s="1">
        <v>35195.300000000003</v>
      </c>
      <c r="I765" t="s">
        <v>588</v>
      </c>
      <c r="J765" t="s">
        <v>1508</v>
      </c>
      <c r="L765" t="s">
        <v>1521</v>
      </c>
      <c r="M765" s="1"/>
      <c r="N765" s="1"/>
      <c r="O765" t="s">
        <v>57</v>
      </c>
      <c r="P765" t="s">
        <v>26</v>
      </c>
    </row>
    <row r="766" spans="1:16" x14ac:dyDescent="0.2">
      <c r="A766" t="s">
        <v>16</v>
      </c>
      <c r="B766" t="s">
        <v>58</v>
      </c>
      <c r="C766" t="s">
        <v>589</v>
      </c>
      <c r="D766">
        <v>347054</v>
      </c>
      <c r="E766" t="s">
        <v>71</v>
      </c>
      <c r="F766" t="s">
        <v>1607</v>
      </c>
      <c r="G766" t="s">
        <v>1608</v>
      </c>
      <c r="H766" s="1">
        <v>2125.1999999999998</v>
      </c>
      <c r="I766" t="s">
        <v>590</v>
      </c>
      <c r="J766" t="s">
        <v>56</v>
      </c>
      <c r="L766" t="s">
        <v>1606</v>
      </c>
      <c r="M766" s="1"/>
      <c r="N766" s="1"/>
      <c r="O766" t="s">
        <v>57</v>
      </c>
      <c r="P766" t="s">
        <v>26</v>
      </c>
    </row>
    <row r="767" spans="1:16" x14ac:dyDescent="0.2">
      <c r="A767" t="s">
        <v>16</v>
      </c>
      <c r="B767" t="s">
        <v>58</v>
      </c>
      <c r="C767" t="s">
        <v>591</v>
      </c>
      <c r="D767">
        <v>700070502</v>
      </c>
      <c r="E767" t="s">
        <v>71</v>
      </c>
      <c r="F767" t="s">
        <v>1604</v>
      </c>
      <c r="G767" t="s">
        <v>1605</v>
      </c>
      <c r="H767" s="1">
        <v>1998.88</v>
      </c>
      <c r="I767" t="s">
        <v>592</v>
      </c>
      <c r="J767" t="s">
        <v>56</v>
      </c>
      <c r="L767" t="s">
        <v>1606</v>
      </c>
      <c r="M767" s="1"/>
      <c r="N767" s="1"/>
      <c r="O767" t="s">
        <v>57</v>
      </c>
      <c r="P767" t="s">
        <v>26</v>
      </c>
    </row>
    <row r="768" spans="1:16" x14ac:dyDescent="0.2">
      <c r="A768" t="s">
        <v>16</v>
      </c>
      <c r="B768" t="s">
        <v>58</v>
      </c>
      <c r="C768" t="s">
        <v>591</v>
      </c>
      <c r="D768">
        <v>700070502</v>
      </c>
      <c r="E768" t="s">
        <v>71</v>
      </c>
      <c r="F768" t="s">
        <v>1607</v>
      </c>
      <c r="G768" t="s">
        <v>1608</v>
      </c>
      <c r="H768" s="1">
        <v>160.16</v>
      </c>
      <c r="I768" t="s">
        <v>592</v>
      </c>
      <c r="J768" t="s">
        <v>56</v>
      </c>
      <c r="L768" t="s">
        <v>1606</v>
      </c>
      <c r="M768" s="1"/>
      <c r="N768" s="1"/>
      <c r="O768" t="s">
        <v>57</v>
      </c>
      <c r="P768" t="s">
        <v>26</v>
      </c>
    </row>
    <row r="769" spans="1:16" x14ac:dyDescent="0.2">
      <c r="A769" t="s">
        <v>16</v>
      </c>
      <c r="B769" t="s">
        <v>58</v>
      </c>
      <c r="C769" t="s">
        <v>594</v>
      </c>
      <c r="D769">
        <v>346935</v>
      </c>
      <c r="E769" t="s">
        <v>96</v>
      </c>
      <c r="F769" t="s">
        <v>456</v>
      </c>
      <c r="G769" t="s">
        <v>457</v>
      </c>
      <c r="H769" s="1">
        <v>60729.1</v>
      </c>
      <c r="I769" t="s">
        <v>595</v>
      </c>
      <c r="J769" t="s">
        <v>56</v>
      </c>
      <c r="L769" t="s">
        <v>40</v>
      </c>
      <c r="M769" s="1"/>
      <c r="N769" s="1"/>
      <c r="O769" t="s">
        <v>57</v>
      </c>
      <c r="P769" t="s">
        <v>26</v>
      </c>
    </row>
    <row r="770" spans="1:16" x14ac:dyDescent="0.2">
      <c r="A770" t="s">
        <v>603</v>
      </c>
      <c r="B770" t="s">
        <v>604</v>
      </c>
      <c r="C770" t="s">
        <v>240</v>
      </c>
      <c r="D770">
        <v>6196</v>
      </c>
      <c r="E770" t="s">
        <v>38</v>
      </c>
      <c r="F770" t="s">
        <v>607</v>
      </c>
      <c r="G770" t="s">
        <v>608</v>
      </c>
      <c r="H770" s="1">
        <v>42166</v>
      </c>
      <c r="I770" t="s">
        <v>611</v>
      </c>
      <c r="J770" t="s">
        <v>148</v>
      </c>
      <c r="L770" t="s">
        <v>603</v>
      </c>
      <c r="M770" s="1"/>
      <c r="N770" s="1"/>
      <c r="O770" t="s">
        <v>610</v>
      </c>
      <c r="P770" t="s">
        <v>26</v>
      </c>
    </row>
    <row r="771" spans="1:16" x14ac:dyDescent="0.2">
      <c r="A771" t="s">
        <v>612</v>
      </c>
      <c r="B771" t="s">
        <v>613</v>
      </c>
      <c r="C771" t="s">
        <v>614</v>
      </c>
      <c r="D771">
        <v>8534</v>
      </c>
      <c r="E771" t="s">
        <v>203</v>
      </c>
      <c r="F771" t="s">
        <v>298</v>
      </c>
      <c r="G771" t="s">
        <v>1625</v>
      </c>
      <c r="H771" s="1">
        <v>4030</v>
      </c>
      <c r="I771" t="s">
        <v>616</v>
      </c>
      <c r="M771" s="1"/>
      <c r="N771" s="1"/>
      <c r="O771" t="s">
        <v>301</v>
      </c>
      <c r="P771" t="s">
        <v>26</v>
      </c>
    </row>
    <row r="772" spans="1:16" x14ac:dyDescent="0.2">
      <c r="A772" t="s">
        <v>612</v>
      </c>
      <c r="B772" t="s">
        <v>613</v>
      </c>
      <c r="C772" t="s">
        <v>617</v>
      </c>
      <c r="D772">
        <v>7722</v>
      </c>
      <c r="E772" t="s">
        <v>203</v>
      </c>
      <c r="F772" t="s">
        <v>298</v>
      </c>
      <c r="G772" t="s">
        <v>1625</v>
      </c>
      <c r="H772" s="1">
        <v>1727.4</v>
      </c>
      <c r="I772" t="s">
        <v>581</v>
      </c>
      <c r="M772" s="1"/>
      <c r="N772" s="1"/>
      <c r="O772" t="s">
        <v>301</v>
      </c>
      <c r="P772" t="s">
        <v>26</v>
      </c>
    </row>
    <row r="773" spans="1:16" x14ac:dyDescent="0.2">
      <c r="A773" t="s">
        <v>612</v>
      </c>
      <c r="B773" t="s">
        <v>619</v>
      </c>
      <c r="C773" t="s">
        <v>614</v>
      </c>
      <c r="D773">
        <v>8533</v>
      </c>
      <c r="E773" t="s">
        <v>203</v>
      </c>
      <c r="F773" t="s">
        <v>298</v>
      </c>
      <c r="G773" t="s">
        <v>615</v>
      </c>
      <c r="H773" s="1">
        <v>10978.1</v>
      </c>
      <c r="I773" t="s">
        <v>581</v>
      </c>
      <c r="M773" s="1"/>
      <c r="N773" s="1"/>
      <c r="O773" t="s">
        <v>620</v>
      </c>
      <c r="P773" t="s">
        <v>26</v>
      </c>
    </row>
    <row r="774" spans="1:16" x14ac:dyDescent="0.2">
      <c r="A774" t="s">
        <v>612</v>
      </c>
      <c r="B774" t="s">
        <v>619</v>
      </c>
      <c r="C774" t="s">
        <v>614</v>
      </c>
      <c r="D774">
        <v>8533</v>
      </c>
      <c r="E774" t="s">
        <v>203</v>
      </c>
      <c r="F774" t="s">
        <v>298</v>
      </c>
      <c r="G774" t="s">
        <v>1625</v>
      </c>
      <c r="H774" s="1">
        <v>10662</v>
      </c>
      <c r="I774" t="s">
        <v>581</v>
      </c>
      <c r="M774" s="1"/>
      <c r="N774" s="1"/>
      <c r="O774" t="s">
        <v>620</v>
      </c>
      <c r="P774" t="s">
        <v>26</v>
      </c>
    </row>
    <row r="775" spans="1:16" x14ac:dyDescent="0.2">
      <c r="A775" t="s">
        <v>612</v>
      </c>
      <c r="B775" t="s">
        <v>619</v>
      </c>
      <c r="C775" t="s">
        <v>614</v>
      </c>
      <c r="D775">
        <v>8533</v>
      </c>
      <c r="E775" t="s">
        <v>203</v>
      </c>
      <c r="F775" t="s">
        <v>1626</v>
      </c>
      <c r="G775" t="s">
        <v>1627</v>
      </c>
      <c r="H775" s="1">
        <v>7714</v>
      </c>
      <c r="I775" t="s">
        <v>581</v>
      </c>
      <c r="J775" t="s">
        <v>56</v>
      </c>
      <c r="L775" t="s">
        <v>1628</v>
      </c>
      <c r="M775" s="1"/>
      <c r="N775" s="1"/>
      <c r="O775" t="s">
        <v>620</v>
      </c>
      <c r="P775" t="s">
        <v>26</v>
      </c>
    </row>
    <row r="776" spans="1:16" x14ac:dyDescent="0.2">
      <c r="A776" t="s">
        <v>612</v>
      </c>
      <c r="B776" t="s">
        <v>619</v>
      </c>
      <c r="C776" t="s">
        <v>617</v>
      </c>
      <c r="D776">
        <v>7721</v>
      </c>
      <c r="E776" t="s">
        <v>203</v>
      </c>
      <c r="F776" t="s">
        <v>298</v>
      </c>
      <c r="G776" t="s">
        <v>1629</v>
      </c>
      <c r="H776" s="1">
        <v>4603.03</v>
      </c>
      <c r="I776" t="s">
        <v>581</v>
      </c>
      <c r="M776" s="1"/>
      <c r="N776" s="1"/>
      <c r="O776" t="s">
        <v>620</v>
      </c>
      <c r="P776" t="s">
        <v>26</v>
      </c>
    </row>
    <row r="777" spans="1:16" x14ac:dyDescent="0.2">
      <c r="A777" t="s">
        <v>612</v>
      </c>
      <c r="B777" t="s">
        <v>619</v>
      </c>
      <c r="C777" t="s">
        <v>617</v>
      </c>
      <c r="D777">
        <v>7721</v>
      </c>
      <c r="E777" t="s">
        <v>203</v>
      </c>
      <c r="F777" t="s">
        <v>298</v>
      </c>
      <c r="G777" t="s">
        <v>618</v>
      </c>
      <c r="H777" s="1">
        <v>4732.24</v>
      </c>
      <c r="I777" t="s">
        <v>581</v>
      </c>
      <c r="M777" s="1"/>
      <c r="N777" s="1"/>
      <c r="O777" t="s">
        <v>620</v>
      </c>
      <c r="P777" t="s">
        <v>26</v>
      </c>
    </row>
    <row r="778" spans="1:16" x14ac:dyDescent="0.2">
      <c r="A778" t="s">
        <v>612</v>
      </c>
      <c r="B778" t="s">
        <v>619</v>
      </c>
      <c r="C778" t="s">
        <v>617</v>
      </c>
      <c r="D778">
        <v>7721</v>
      </c>
      <c r="E778" t="s">
        <v>203</v>
      </c>
      <c r="F778" t="s">
        <v>298</v>
      </c>
      <c r="G778" t="s">
        <v>615</v>
      </c>
      <c r="H778" s="1">
        <v>628.76</v>
      </c>
      <c r="I778" t="s">
        <v>581</v>
      </c>
      <c r="M778" s="1"/>
      <c r="N778" s="1"/>
      <c r="O778" t="s">
        <v>620</v>
      </c>
      <c r="P778" t="s">
        <v>26</v>
      </c>
    </row>
    <row r="779" spans="1:16" x14ac:dyDescent="0.2">
      <c r="A779" t="s">
        <v>612</v>
      </c>
      <c r="B779" t="s">
        <v>619</v>
      </c>
      <c r="C779" t="s">
        <v>617</v>
      </c>
      <c r="D779">
        <v>7721</v>
      </c>
      <c r="E779" t="s">
        <v>203</v>
      </c>
      <c r="F779" t="s">
        <v>298</v>
      </c>
      <c r="G779" t="s">
        <v>1630</v>
      </c>
      <c r="H779" s="1">
        <v>2789.5</v>
      </c>
      <c r="I779" t="s">
        <v>581</v>
      </c>
      <c r="M779" s="1"/>
      <c r="N779" s="1"/>
      <c r="O779" t="s">
        <v>620</v>
      </c>
      <c r="P779" t="s">
        <v>26</v>
      </c>
    </row>
    <row r="780" spans="1:16" x14ac:dyDescent="0.2">
      <c r="A780" t="s">
        <v>612</v>
      </c>
      <c r="B780" t="s">
        <v>619</v>
      </c>
      <c r="C780" t="s">
        <v>617</v>
      </c>
      <c r="D780">
        <v>7721</v>
      </c>
      <c r="E780" t="s">
        <v>203</v>
      </c>
      <c r="F780" t="s">
        <v>298</v>
      </c>
      <c r="G780" t="s">
        <v>1625</v>
      </c>
      <c r="H780" s="1">
        <v>4899.2</v>
      </c>
      <c r="I780" t="s">
        <v>581</v>
      </c>
      <c r="M780" s="1"/>
      <c r="N780" s="1"/>
      <c r="O780" t="s">
        <v>620</v>
      </c>
      <c r="P780" t="s">
        <v>26</v>
      </c>
    </row>
    <row r="781" spans="1:16" x14ac:dyDescent="0.2">
      <c r="A781" t="s">
        <v>27</v>
      </c>
      <c r="B781" t="s">
        <v>28</v>
      </c>
      <c r="C781" t="s">
        <v>77</v>
      </c>
      <c r="D781">
        <v>229484</v>
      </c>
      <c r="E781" t="s">
        <v>75</v>
      </c>
      <c r="F781" t="s">
        <v>32</v>
      </c>
      <c r="G781" t="s">
        <v>33</v>
      </c>
      <c r="H781" s="1">
        <v>1000000</v>
      </c>
      <c r="I781" t="s">
        <v>78</v>
      </c>
      <c r="J781" t="s">
        <v>35</v>
      </c>
      <c r="L781" t="s">
        <v>27</v>
      </c>
      <c r="M781" s="1"/>
      <c r="N781" s="1"/>
      <c r="O781" t="s">
        <v>36</v>
      </c>
      <c r="P781" t="s">
        <v>26</v>
      </c>
    </row>
    <row r="782" spans="1:16" x14ac:dyDescent="0.2">
      <c r="A782" t="s">
        <v>27</v>
      </c>
      <c r="B782" t="s">
        <v>28</v>
      </c>
      <c r="C782" t="s">
        <v>77</v>
      </c>
      <c r="D782">
        <v>229484</v>
      </c>
      <c r="E782" t="s">
        <v>75</v>
      </c>
      <c r="F782" t="s">
        <v>639</v>
      </c>
      <c r="G782" t="s">
        <v>640</v>
      </c>
      <c r="H782" s="1">
        <v>2110980</v>
      </c>
      <c r="I782" t="s">
        <v>78</v>
      </c>
      <c r="J782" t="s">
        <v>83</v>
      </c>
      <c r="L782" t="s">
        <v>27</v>
      </c>
      <c r="M782" s="1"/>
      <c r="N782" s="1"/>
      <c r="O782" t="s">
        <v>36</v>
      </c>
      <c r="P782" t="s">
        <v>26</v>
      </c>
    </row>
    <row r="783" spans="1:16" x14ac:dyDescent="0.2">
      <c r="A783" t="s">
        <v>27</v>
      </c>
      <c r="B783" t="s">
        <v>28</v>
      </c>
      <c r="C783" t="s">
        <v>77</v>
      </c>
      <c r="D783">
        <v>229484</v>
      </c>
      <c r="E783" t="s">
        <v>75</v>
      </c>
      <c r="F783" t="s">
        <v>80</v>
      </c>
      <c r="G783" t="s">
        <v>81</v>
      </c>
      <c r="H783" s="1">
        <v>500000</v>
      </c>
      <c r="I783" t="s">
        <v>78</v>
      </c>
      <c r="J783" t="s">
        <v>83</v>
      </c>
      <c r="L783" t="s">
        <v>27</v>
      </c>
      <c r="M783" s="1"/>
      <c r="N783" s="1"/>
      <c r="O783" t="s">
        <v>36</v>
      </c>
      <c r="P783" t="s">
        <v>26</v>
      </c>
    </row>
    <row r="784" spans="1:16" x14ac:dyDescent="0.2">
      <c r="A784" t="s">
        <v>27</v>
      </c>
      <c r="B784" t="s">
        <v>28</v>
      </c>
      <c r="C784" t="s">
        <v>77</v>
      </c>
      <c r="D784">
        <v>229484</v>
      </c>
      <c r="E784" t="s">
        <v>75</v>
      </c>
      <c r="F784" t="s">
        <v>1631</v>
      </c>
      <c r="G784" t="s">
        <v>1632</v>
      </c>
      <c r="H784" s="1">
        <v>490495</v>
      </c>
      <c r="I784" t="s">
        <v>78</v>
      </c>
      <c r="J784" t="s">
        <v>83</v>
      </c>
      <c r="L784" t="s">
        <v>27</v>
      </c>
      <c r="M784" s="1"/>
      <c r="N784" s="1"/>
      <c r="O784" t="s">
        <v>36</v>
      </c>
      <c r="P784" t="s">
        <v>26</v>
      </c>
    </row>
    <row r="785" spans="1:16" x14ac:dyDescent="0.2">
      <c r="A785" t="s">
        <v>295</v>
      </c>
      <c r="B785" t="s">
        <v>296</v>
      </c>
      <c r="C785" t="s">
        <v>297</v>
      </c>
      <c r="D785">
        <v>11174</v>
      </c>
      <c r="E785" t="s">
        <v>192</v>
      </c>
      <c r="F785" t="s">
        <v>665</v>
      </c>
      <c r="G785" t="s">
        <v>666</v>
      </c>
      <c r="H785" s="1">
        <v>83190.3</v>
      </c>
      <c r="I785" t="s">
        <v>300</v>
      </c>
      <c r="J785" t="s">
        <v>667</v>
      </c>
      <c r="L785" t="s">
        <v>668</v>
      </c>
      <c r="M785" s="1"/>
      <c r="N785" s="1"/>
      <c r="O785" t="s">
        <v>301</v>
      </c>
      <c r="P785" t="s">
        <v>26</v>
      </c>
    </row>
    <row r="786" spans="1:16" x14ac:dyDescent="0.2">
      <c r="A786" t="s">
        <v>295</v>
      </c>
      <c r="B786" t="s">
        <v>296</v>
      </c>
      <c r="C786" t="s">
        <v>297</v>
      </c>
      <c r="D786">
        <v>11174</v>
      </c>
      <c r="E786" t="s">
        <v>192</v>
      </c>
      <c r="F786" t="s">
        <v>1633</v>
      </c>
      <c r="G786" t="s">
        <v>1634</v>
      </c>
      <c r="H786" s="1">
        <v>71757.399999999994</v>
      </c>
      <c r="I786" t="s">
        <v>300</v>
      </c>
      <c r="J786" t="s">
        <v>667</v>
      </c>
      <c r="L786" t="s">
        <v>668</v>
      </c>
      <c r="M786" s="1"/>
      <c r="N786" s="1"/>
      <c r="O786" t="s">
        <v>301</v>
      </c>
      <c r="P786" t="s">
        <v>26</v>
      </c>
    </row>
    <row r="787" spans="1:16" x14ac:dyDescent="0.2">
      <c r="A787" t="s">
        <v>295</v>
      </c>
      <c r="B787" t="s">
        <v>296</v>
      </c>
      <c r="C787" t="s">
        <v>297</v>
      </c>
      <c r="D787">
        <v>11174</v>
      </c>
      <c r="E787" t="s">
        <v>192</v>
      </c>
      <c r="F787" t="s">
        <v>1635</v>
      </c>
      <c r="G787" t="s">
        <v>1636</v>
      </c>
      <c r="H787" s="1">
        <v>93492.6</v>
      </c>
      <c r="I787" t="s">
        <v>300</v>
      </c>
      <c r="J787" t="s">
        <v>667</v>
      </c>
      <c r="L787" t="s">
        <v>668</v>
      </c>
      <c r="M787" s="1"/>
      <c r="N787" s="1"/>
      <c r="O787" t="s">
        <v>301</v>
      </c>
      <c r="P787" t="s">
        <v>26</v>
      </c>
    </row>
    <row r="788" spans="1:16" x14ac:dyDescent="0.2">
      <c r="A788" t="s">
        <v>295</v>
      </c>
      <c r="B788" t="s">
        <v>296</v>
      </c>
      <c r="C788" t="s">
        <v>297</v>
      </c>
      <c r="D788">
        <v>11174</v>
      </c>
      <c r="E788" t="s">
        <v>192</v>
      </c>
      <c r="F788" t="s">
        <v>1637</v>
      </c>
      <c r="G788" t="s">
        <v>1638</v>
      </c>
      <c r="H788" s="1">
        <v>1568.46</v>
      </c>
      <c r="I788" t="s">
        <v>300</v>
      </c>
      <c r="J788" t="s">
        <v>667</v>
      </c>
      <c r="L788" t="s">
        <v>668</v>
      </c>
      <c r="M788" s="1"/>
      <c r="N788" s="1"/>
      <c r="O788" t="s">
        <v>301</v>
      </c>
      <c r="P788" t="s">
        <v>26</v>
      </c>
    </row>
    <row r="789" spans="1:16" x14ac:dyDescent="0.2">
      <c r="A789" t="s">
        <v>295</v>
      </c>
      <c r="B789" t="s">
        <v>296</v>
      </c>
      <c r="C789" t="s">
        <v>297</v>
      </c>
      <c r="D789">
        <v>11174</v>
      </c>
      <c r="E789" t="s">
        <v>192</v>
      </c>
      <c r="F789" t="s">
        <v>1639</v>
      </c>
      <c r="G789" t="s">
        <v>1640</v>
      </c>
      <c r="H789" s="1">
        <v>45913.7</v>
      </c>
      <c r="I789" t="s">
        <v>300</v>
      </c>
      <c r="J789" t="s">
        <v>667</v>
      </c>
      <c r="L789" t="s">
        <v>668</v>
      </c>
      <c r="M789" s="1"/>
      <c r="N789" s="1"/>
      <c r="O789" t="s">
        <v>301</v>
      </c>
      <c r="P789" t="s">
        <v>26</v>
      </c>
    </row>
    <row r="790" spans="1:16" x14ac:dyDescent="0.2">
      <c r="A790" t="s">
        <v>295</v>
      </c>
      <c r="B790" t="s">
        <v>296</v>
      </c>
      <c r="C790" t="s">
        <v>297</v>
      </c>
      <c r="D790">
        <v>11174</v>
      </c>
      <c r="E790" t="s">
        <v>192</v>
      </c>
      <c r="F790" t="s">
        <v>1641</v>
      </c>
      <c r="G790" t="s">
        <v>1642</v>
      </c>
      <c r="H790" s="1">
        <v>15238.9</v>
      </c>
      <c r="I790" t="s">
        <v>300</v>
      </c>
      <c r="J790" t="s">
        <v>667</v>
      </c>
      <c r="L790" t="s">
        <v>668</v>
      </c>
      <c r="M790" s="1"/>
      <c r="N790" s="1"/>
      <c r="O790" t="s">
        <v>301</v>
      </c>
      <c r="P790" t="s">
        <v>26</v>
      </c>
    </row>
    <row r="791" spans="1:16" x14ac:dyDescent="0.2">
      <c r="A791" t="s">
        <v>295</v>
      </c>
      <c r="B791" t="s">
        <v>296</v>
      </c>
      <c r="C791" t="s">
        <v>297</v>
      </c>
      <c r="D791">
        <v>11174</v>
      </c>
      <c r="E791" t="s">
        <v>192</v>
      </c>
      <c r="F791" t="s">
        <v>1643</v>
      </c>
      <c r="G791" t="s">
        <v>1644</v>
      </c>
      <c r="H791" s="1">
        <v>42379.8</v>
      </c>
      <c r="I791" t="s">
        <v>300</v>
      </c>
      <c r="J791" t="s">
        <v>667</v>
      </c>
      <c r="L791" t="s">
        <v>668</v>
      </c>
      <c r="M791" s="1"/>
      <c r="N791" s="1"/>
      <c r="O791" t="s">
        <v>301</v>
      </c>
      <c r="P791" t="s">
        <v>26</v>
      </c>
    </row>
    <row r="792" spans="1:16" x14ac:dyDescent="0.2">
      <c r="A792" t="s">
        <v>295</v>
      </c>
      <c r="B792" t="s">
        <v>296</v>
      </c>
      <c r="C792" t="s">
        <v>664</v>
      </c>
      <c r="D792">
        <v>12572</v>
      </c>
      <c r="E792" t="s">
        <v>38</v>
      </c>
      <c r="F792" t="s">
        <v>1635</v>
      </c>
      <c r="G792" t="s">
        <v>1636</v>
      </c>
      <c r="H792" s="1">
        <v>24535.599999999999</v>
      </c>
      <c r="I792" t="s">
        <v>581</v>
      </c>
      <c r="J792" t="s">
        <v>667</v>
      </c>
      <c r="L792" t="s">
        <v>668</v>
      </c>
      <c r="M792" s="1"/>
      <c r="N792" s="1"/>
      <c r="O792" t="s">
        <v>301</v>
      </c>
      <c r="P792" t="s">
        <v>26</v>
      </c>
    </row>
    <row r="793" spans="1:16" x14ac:dyDescent="0.2">
      <c r="A793" t="s">
        <v>366</v>
      </c>
      <c r="B793" t="s">
        <v>367</v>
      </c>
      <c r="C793" t="s">
        <v>738</v>
      </c>
      <c r="D793" t="s">
        <v>739</v>
      </c>
      <c r="E793" t="s">
        <v>192</v>
      </c>
      <c r="F793" t="s">
        <v>747</v>
      </c>
      <c r="G793" t="s">
        <v>748</v>
      </c>
      <c r="H793" s="1">
        <v>9208.35</v>
      </c>
      <c r="I793" t="s">
        <v>742</v>
      </c>
      <c r="J793" t="s">
        <v>372</v>
      </c>
      <c r="L793" t="s">
        <v>366</v>
      </c>
      <c r="M793" s="1"/>
      <c r="N793" s="1"/>
      <c r="O793" t="s">
        <v>36</v>
      </c>
      <c r="P793" t="s">
        <v>26</v>
      </c>
    </row>
    <row r="794" spans="1:16" x14ac:dyDescent="0.2">
      <c r="A794" t="s">
        <v>366</v>
      </c>
      <c r="B794" t="s">
        <v>367</v>
      </c>
      <c r="C794" t="s">
        <v>380</v>
      </c>
      <c r="D794" t="s">
        <v>743</v>
      </c>
      <c r="E794" t="s">
        <v>192</v>
      </c>
      <c r="F794" t="s">
        <v>1502</v>
      </c>
      <c r="G794" t="s">
        <v>1503</v>
      </c>
      <c r="H794" s="1">
        <v>6214.9</v>
      </c>
      <c r="I794" t="s">
        <v>744</v>
      </c>
      <c r="J794" t="s">
        <v>422</v>
      </c>
      <c r="L794" t="s">
        <v>366</v>
      </c>
      <c r="M794" s="1"/>
      <c r="N794" s="1"/>
      <c r="O794" t="s">
        <v>36</v>
      </c>
      <c r="P794" t="s">
        <v>26</v>
      </c>
    </row>
    <row r="795" spans="1:16" x14ac:dyDescent="0.2">
      <c r="A795" t="s">
        <v>366</v>
      </c>
      <c r="B795" t="s">
        <v>367</v>
      </c>
      <c r="C795" t="s">
        <v>380</v>
      </c>
      <c r="D795" t="s">
        <v>743</v>
      </c>
      <c r="E795" t="s">
        <v>192</v>
      </c>
      <c r="F795" t="s">
        <v>735</v>
      </c>
      <c r="G795" t="s">
        <v>736</v>
      </c>
      <c r="H795" s="1">
        <v>19346.900000000001</v>
      </c>
      <c r="I795" t="s">
        <v>744</v>
      </c>
      <c r="J795" t="s">
        <v>487</v>
      </c>
      <c r="L795" t="s">
        <v>366</v>
      </c>
      <c r="M795" s="1"/>
      <c r="N795" s="1"/>
      <c r="O795" t="s">
        <v>36</v>
      </c>
      <c r="P795" t="s">
        <v>26</v>
      </c>
    </row>
    <row r="796" spans="1:16" x14ac:dyDescent="0.2">
      <c r="A796" t="s">
        <v>366</v>
      </c>
      <c r="B796" t="s">
        <v>367</v>
      </c>
      <c r="C796" t="s">
        <v>380</v>
      </c>
      <c r="D796" t="s">
        <v>743</v>
      </c>
      <c r="E796" t="s">
        <v>192</v>
      </c>
      <c r="F796" t="s">
        <v>1645</v>
      </c>
      <c r="G796" t="s">
        <v>1646</v>
      </c>
      <c r="H796" s="1">
        <v>2048</v>
      </c>
      <c r="I796" t="s">
        <v>744</v>
      </c>
      <c r="J796" t="s">
        <v>422</v>
      </c>
      <c r="L796" t="s">
        <v>366</v>
      </c>
      <c r="M796" s="1"/>
      <c r="N796" s="1"/>
      <c r="O796" t="s">
        <v>36</v>
      </c>
      <c r="P796" t="s">
        <v>26</v>
      </c>
    </row>
    <row r="797" spans="1:16" x14ac:dyDescent="0.2">
      <c r="A797" t="s">
        <v>366</v>
      </c>
      <c r="B797" t="s">
        <v>367</v>
      </c>
      <c r="C797" t="s">
        <v>380</v>
      </c>
      <c r="D797" t="s">
        <v>743</v>
      </c>
      <c r="E797" t="s">
        <v>192</v>
      </c>
      <c r="F797" t="s">
        <v>807</v>
      </c>
      <c r="G797" t="s">
        <v>808</v>
      </c>
      <c r="H797" s="1">
        <v>6080</v>
      </c>
      <c r="I797" t="s">
        <v>744</v>
      </c>
      <c r="J797" t="s">
        <v>372</v>
      </c>
      <c r="L797" t="s">
        <v>366</v>
      </c>
      <c r="M797" s="1"/>
      <c r="N797" s="1"/>
      <c r="O797" t="s">
        <v>36</v>
      </c>
      <c r="P797" t="s">
        <v>26</v>
      </c>
    </row>
    <row r="798" spans="1:16" x14ac:dyDescent="0.2">
      <c r="A798" t="s">
        <v>366</v>
      </c>
      <c r="B798" t="s">
        <v>367</v>
      </c>
      <c r="C798" t="s">
        <v>380</v>
      </c>
      <c r="D798" t="s">
        <v>743</v>
      </c>
      <c r="E798" t="s">
        <v>192</v>
      </c>
      <c r="F798" t="s">
        <v>800</v>
      </c>
      <c r="G798" t="s">
        <v>801</v>
      </c>
      <c r="H798" s="1">
        <v>1450</v>
      </c>
      <c r="I798" t="s">
        <v>744</v>
      </c>
      <c r="J798" t="s">
        <v>372</v>
      </c>
      <c r="L798" t="s">
        <v>366</v>
      </c>
      <c r="M798" s="1"/>
      <c r="N798" s="1"/>
      <c r="O798" t="s">
        <v>36</v>
      </c>
      <c r="P798" t="s">
        <v>26</v>
      </c>
    </row>
    <row r="799" spans="1:16" x14ac:dyDescent="0.2">
      <c r="A799" t="s">
        <v>366</v>
      </c>
      <c r="B799" t="s">
        <v>367</v>
      </c>
      <c r="C799" t="s">
        <v>380</v>
      </c>
      <c r="D799" t="s">
        <v>743</v>
      </c>
      <c r="E799" t="s">
        <v>192</v>
      </c>
      <c r="F799" t="s">
        <v>800</v>
      </c>
      <c r="G799" t="s">
        <v>801</v>
      </c>
      <c r="H799" s="1">
        <v>11673</v>
      </c>
      <c r="I799" t="s">
        <v>744</v>
      </c>
      <c r="J799" t="s">
        <v>372</v>
      </c>
      <c r="L799" t="s">
        <v>366</v>
      </c>
      <c r="M799" s="1"/>
      <c r="N799" s="1"/>
      <c r="O799" t="s">
        <v>36</v>
      </c>
      <c r="P799" t="s">
        <v>26</v>
      </c>
    </row>
    <row r="800" spans="1:16" x14ac:dyDescent="0.2">
      <c r="A800" t="s">
        <v>366</v>
      </c>
      <c r="B800" t="s">
        <v>367</v>
      </c>
      <c r="C800" t="s">
        <v>750</v>
      </c>
      <c r="D800" t="s">
        <v>751</v>
      </c>
      <c r="E800" t="s">
        <v>67</v>
      </c>
      <c r="F800" t="s">
        <v>762</v>
      </c>
      <c r="G800" t="s">
        <v>763</v>
      </c>
      <c r="H800" s="1">
        <v>9161.25</v>
      </c>
      <c r="I800" t="s">
        <v>754</v>
      </c>
      <c r="J800" t="s">
        <v>422</v>
      </c>
      <c r="L800" t="s">
        <v>366</v>
      </c>
      <c r="M800" s="1"/>
      <c r="N800" s="1"/>
      <c r="O800" t="s">
        <v>36</v>
      </c>
      <c r="P800" t="s">
        <v>26</v>
      </c>
    </row>
    <row r="801" spans="1:16" x14ac:dyDescent="0.2">
      <c r="A801" t="s">
        <v>366</v>
      </c>
      <c r="B801" t="s">
        <v>367</v>
      </c>
      <c r="C801" t="s">
        <v>750</v>
      </c>
      <c r="D801" t="s">
        <v>751</v>
      </c>
      <c r="E801" t="s">
        <v>67</v>
      </c>
      <c r="F801" t="s">
        <v>807</v>
      </c>
      <c r="G801" t="s">
        <v>808</v>
      </c>
      <c r="H801" s="1">
        <v>3420</v>
      </c>
      <c r="I801" t="s">
        <v>754</v>
      </c>
      <c r="J801" t="s">
        <v>372</v>
      </c>
      <c r="L801" t="s">
        <v>366</v>
      </c>
      <c r="M801" s="1"/>
      <c r="N801" s="1"/>
      <c r="O801" t="s">
        <v>36</v>
      </c>
      <c r="P801" t="s">
        <v>26</v>
      </c>
    </row>
    <row r="802" spans="1:16" x14ac:dyDescent="0.2">
      <c r="A802" t="s">
        <v>366</v>
      </c>
      <c r="B802" t="s">
        <v>367</v>
      </c>
      <c r="C802" t="s">
        <v>757</v>
      </c>
      <c r="D802" t="s">
        <v>758</v>
      </c>
      <c r="E802" t="s">
        <v>38</v>
      </c>
      <c r="F802" t="s">
        <v>369</v>
      </c>
      <c r="G802" t="s">
        <v>370</v>
      </c>
      <c r="H802" s="1">
        <v>7815</v>
      </c>
      <c r="I802" t="s">
        <v>759</v>
      </c>
      <c r="J802" t="s">
        <v>372</v>
      </c>
      <c r="L802" t="s">
        <v>366</v>
      </c>
      <c r="M802" s="1"/>
      <c r="N802" s="1"/>
      <c r="O802" t="s">
        <v>36</v>
      </c>
      <c r="P802" t="s">
        <v>26</v>
      </c>
    </row>
    <row r="803" spans="1:16" x14ac:dyDescent="0.2">
      <c r="A803" t="s">
        <v>366</v>
      </c>
      <c r="B803" t="s">
        <v>367</v>
      </c>
      <c r="C803" t="s">
        <v>757</v>
      </c>
      <c r="D803" t="s">
        <v>758</v>
      </c>
      <c r="E803" t="s">
        <v>38</v>
      </c>
      <c r="F803" t="s">
        <v>800</v>
      </c>
      <c r="G803" t="s">
        <v>801</v>
      </c>
      <c r="H803" s="1">
        <v>4806.55</v>
      </c>
      <c r="I803" t="s">
        <v>759</v>
      </c>
      <c r="J803" t="s">
        <v>372</v>
      </c>
      <c r="L803" t="s">
        <v>366</v>
      </c>
      <c r="M803" s="1"/>
      <c r="N803" s="1"/>
      <c r="O803" t="s">
        <v>36</v>
      </c>
      <c r="P803" t="s">
        <v>26</v>
      </c>
    </row>
    <row r="804" spans="1:16" x14ac:dyDescent="0.2">
      <c r="A804" t="s">
        <v>366</v>
      </c>
      <c r="B804" t="s">
        <v>367</v>
      </c>
      <c r="C804" t="s">
        <v>252</v>
      </c>
      <c r="D804" t="s">
        <v>773</v>
      </c>
      <c r="E804" t="s">
        <v>38</v>
      </c>
      <c r="F804" t="s">
        <v>800</v>
      </c>
      <c r="G804" t="s">
        <v>801</v>
      </c>
      <c r="H804" s="1">
        <v>5440</v>
      </c>
      <c r="I804" t="s">
        <v>774</v>
      </c>
      <c r="J804" t="s">
        <v>372</v>
      </c>
      <c r="L804" t="s">
        <v>366</v>
      </c>
      <c r="M804" s="1"/>
      <c r="N804" s="1"/>
      <c r="O804" t="s">
        <v>36</v>
      </c>
      <c r="P804" t="s">
        <v>26</v>
      </c>
    </row>
    <row r="805" spans="1:16" x14ac:dyDescent="0.2">
      <c r="A805" t="s">
        <v>366</v>
      </c>
      <c r="B805" t="s">
        <v>367</v>
      </c>
      <c r="C805" t="s">
        <v>252</v>
      </c>
      <c r="D805" t="s">
        <v>773</v>
      </c>
      <c r="E805" t="s">
        <v>38</v>
      </c>
      <c r="F805" t="s">
        <v>800</v>
      </c>
      <c r="G805" t="s">
        <v>801</v>
      </c>
      <c r="H805" s="1">
        <v>28545.599999999999</v>
      </c>
      <c r="I805" t="s">
        <v>774</v>
      </c>
      <c r="J805" t="s">
        <v>372</v>
      </c>
      <c r="L805" t="s">
        <v>366</v>
      </c>
      <c r="M805" s="1"/>
      <c r="N805" s="1"/>
      <c r="O805" t="s">
        <v>36</v>
      </c>
      <c r="P805" t="s">
        <v>26</v>
      </c>
    </row>
    <row r="806" spans="1:16" x14ac:dyDescent="0.2">
      <c r="A806" t="s">
        <v>366</v>
      </c>
      <c r="B806" t="s">
        <v>367</v>
      </c>
      <c r="C806" t="s">
        <v>489</v>
      </c>
      <c r="D806" t="s">
        <v>775</v>
      </c>
      <c r="E806" t="s">
        <v>71</v>
      </c>
      <c r="F806" t="s">
        <v>1647</v>
      </c>
      <c r="G806" t="s">
        <v>1648</v>
      </c>
      <c r="H806" s="1">
        <v>7850.4</v>
      </c>
      <c r="I806" t="s">
        <v>371</v>
      </c>
      <c r="J806" t="s">
        <v>422</v>
      </c>
      <c r="L806" t="s">
        <v>366</v>
      </c>
      <c r="M806" s="1"/>
      <c r="N806" s="1"/>
      <c r="O806" t="s">
        <v>36</v>
      </c>
      <c r="P806" t="s">
        <v>26</v>
      </c>
    </row>
    <row r="807" spans="1:16" x14ac:dyDescent="0.2">
      <c r="A807" t="s">
        <v>366</v>
      </c>
      <c r="B807" t="s">
        <v>367</v>
      </c>
      <c r="C807" t="s">
        <v>779</v>
      </c>
      <c r="D807" t="s">
        <v>780</v>
      </c>
      <c r="E807" t="s">
        <v>71</v>
      </c>
      <c r="F807" t="s">
        <v>800</v>
      </c>
      <c r="G807" t="s">
        <v>801</v>
      </c>
      <c r="H807" s="1">
        <v>13733</v>
      </c>
      <c r="I807" t="s">
        <v>781</v>
      </c>
      <c r="J807" t="s">
        <v>372</v>
      </c>
      <c r="L807" t="s">
        <v>366</v>
      </c>
      <c r="M807" s="1"/>
      <c r="N807" s="1"/>
      <c r="O807" t="s">
        <v>36</v>
      </c>
      <c r="P807" t="s">
        <v>26</v>
      </c>
    </row>
    <row r="808" spans="1:16" x14ac:dyDescent="0.2">
      <c r="A808" t="s">
        <v>366</v>
      </c>
      <c r="B808" t="s">
        <v>367</v>
      </c>
      <c r="C808" t="s">
        <v>779</v>
      </c>
      <c r="D808" t="s">
        <v>780</v>
      </c>
      <c r="E808" t="s">
        <v>71</v>
      </c>
      <c r="F808" t="s">
        <v>807</v>
      </c>
      <c r="G808" t="s">
        <v>808</v>
      </c>
      <c r="H808" s="1">
        <v>3800</v>
      </c>
      <c r="I808" t="s">
        <v>781</v>
      </c>
      <c r="J808" t="s">
        <v>372</v>
      </c>
      <c r="L808" t="s">
        <v>366</v>
      </c>
      <c r="M808" s="1"/>
      <c r="N808" s="1"/>
      <c r="O808" t="s">
        <v>36</v>
      </c>
      <c r="P808" t="s">
        <v>26</v>
      </c>
    </row>
    <row r="809" spans="1:16" x14ac:dyDescent="0.2">
      <c r="A809" t="s">
        <v>366</v>
      </c>
      <c r="B809" t="s">
        <v>367</v>
      </c>
      <c r="C809" t="s">
        <v>442</v>
      </c>
      <c r="D809" t="s">
        <v>789</v>
      </c>
      <c r="E809" t="s">
        <v>71</v>
      </c>
      <c r="F809" t="s">
        <v>807</v>
      </c>
      <c r="G809" t="s">
        <v>808</v>
      </c>
      <c r="H809" s="1">
        <v>16720</v>
      </c>
      <c r="I809" t="s">
        <v>792</v>
      </c>
      <c r="J809" t="s">
        <v>372</v>
      </c>
      <c r="L809" t="s">
        <v>366</v>
      </c>
      <c r="M809" s="1"/>
      <c r="N809" s="1"/>
      <c r="O809" t="s">
        <v>36</v>
      </c>
      <c r="P809" t="s">
        <v>26</v>
      </c>
    </row>
    <row r="810" spans="1:16" x14ac:dyDescent="0.2">
      <c r="A810" t="s">
        <v>366</v>
      </c>
      <c r="B810" t="s">
        <v>367</v>
      </c>
      <c r="C810" t="s">
        <v>793</v>
      </c>
      <c r="D810" t="s">
        <v>794</v>
      </c>
      <c r="E810" t="s">
        <v>71</v>
      </c>
      <c r="F810" t="s">
        <v>369</v>
      </c>
      <c r="G810" t="s">
        <v>370</v>
      </c>
      <c r="H810" s="1">
        <v>16411.5</v>
      </c>
      <c r="I810" t="s">
        <v>795</v>
      </c>
      <c r="J810" t="s">
        <v>372</v>
      </c>
      <c r="L810" t="s">
        <v>366</v>
      </c>
      <c r="M810" s="1"/>
      <c r="N810" s="1"/>
      <c r="O810" t="s">
        <v>36</v>
      </c>
      <c r="P810" t="s">
        <v>26</v>
      </c>
    </row>
    <row r="811" spans="1:16" x14ac:dyDescent="0.2">
      <c r="A811" t="s">
        <v>366</v>
      </c>
      <c r="B811" t="s">
        <v>367</v>
      </c>
      <c r="C811" t="s">
        <v>793</v>
      </c>
      <c r="D811" t="s">
        <v>794</v>
      </c>
      <c r="E811" t="s">
        <v>71</v>
      </c>
      <c r="F811" t="s">
        <v>800</v>
      </c>
      <c r="G811" t="s">
        <v>801</v>
      </c>
      <c r="H811" s="1">
        <v>29259.200000000001</v>
      </c>
      <c r="I811" t="s">
        <v>795</v>
      </c>
      <c r="J811" t="s">
        <v>372</v>
      </c>
      <c r="L811" t="s">
        <v>366</v>
      </c>
      <c r="M811" s="1"/>
      <c r="N811" s="1"/>
      <c r="O811" t="s">
        <v>36</v>
      </c>
      <c r="P811" t="s">
        <v>26</v>
      </c>
    </row>
    <row r="812" spans="1:16" x14ac:dyDescent="0.2">
      <c r="A812" t="s">
        <v>366</v>
      </c>
      <c r="B812" t="s">
        <v>367</v>
      </c>
      <c r="C812" t="s">
        <v>796</v>
      </c>
      <c r="D812" t="s">
        <v>797</v>
      </c>
      <c r="E812" t="s">
        <v>71</v>
      </c>
      <c r="F812" t="s">
        <v>800</v>
      </c>
      <c r="G812" t="s">
        <v>801</v>
      </c>
      <c r="H812" s="1">
        <v>26404.7</v>
      </c>
      <c r="I812" t="s">
        <v>774</v>
      </c>
      <c r="J812" t="s">
        <v>372</v>
      </c>
      <c r="L812" t="s">
        <v>366</v>
      </c>
      <c r="M812" s="1"/>
      <c r="N812" s="1"/>
      <c r="O812" t="s">
        <v>36</v>
      </c>
      <c r="P812" t="s">
        <v>26</v>
      </c>
    </row>
    <row r="813" spans="1:16" x14ac:dyDescent="0.2">
      <c r="A813" t="s">
        <v>366</v>
      </c>
      <c r="B813" t="s">
        <v>367</v>
      </c>
      <c r="C813" t="s">
        <v>220</v>
      </c>
      <c r="D813" t="s">
        <v>806</v>
      </c>
      <c r="E813" t="s">
        <v>128</v>
      </c>
      <c r="F813" t="s">
        <v>800</v>
      </c>
      <c r="G813" t="s">
        <v>801</v>
      </c>
      <c r="H813" s="1">
        <v>6866.5</v>
      </c>
      <c r="I813" t="s">
        <v>759</v>
      </c>
      <c r="J813" t="s">
        <v>372</v>
      </c>
      <c r="L813" t="s">
        <v>366</v>
      </c>
      <c r="M813" s="1"/>
      <c r="N813" s="1"/>
      <c r="O813" t="s">
        <v>36</v>
      </c>
      <c r="P813" t="s">
        <v>26</v>
      </c>
    </row>
    <row r="814" spans="1:16" x14ac:dyDescent="0.2">
      <c r="A814" t="s">
        <v>366</v>
      </c>
      <c r="B814" t="s">
        <v>367</v>
      </c>
      <c r="C814" t="s">
        <v>154</v>
      </c>
      <c r="D814" t="s">
        <v>368</v>
      </c>
      <c r="E814" t="s">
        <v>128</v>
      </c>
      <c r="F814" t="s">
        <v>1649</v>
      </c>
      <c r="G814" t="s">
        <v>1650</v>
      </c>
      <c r="H814" s="1">
        <v>15027.4</v>
      </c>
      <c r="I814" t="s">
        <v>371</v>
      </c>
      <c r="J814" t="s">
        <v>422</v>
      </c>
      <c r="L814" t="s">
        <v>366</v>
      </c>
      <c r="M814" s="1"/>
      <c r="N814" s="1"/>
      <c r="O814" t="s">
        <v>36</v>
      </c>
      <c r="P814" t="s">
        <v>26</v>
      </c>
    </row>
    <row r="815" spans="1:16" x14ac:dyDescent="0.2">
      <c r="A815" t="s">
        <v>366</v>
      </c>
      <c r="B815" t="s">
        <v>367</v>
      </c>
      <c r="C815" t="s">
        <v>154</v>
      </c>
      <c r="D815" t="s">
        <v>368</v>
      </c>
      <c r="E815" t="s">
        <v>128</v>
      </c>
      <c r="F815" t="s">
        <v>1651</v>
      </c>
      <c r="G815" t="s">
        <v>1652</v>
      </c>
      <c r="H815" s="1">
        <v>17783.5</v>
      </c>
      <c r="I815" t="s">
        <v>371</v>
      </c>
      <c r="J815" t="s">
        <v>487</v>
      </c>
      <c r="L815" t="s">
        <v>366</v>
      </c>
      <c r="M815" s="1"/>
      <c r="N815" s="1"/>
      <c r="O815" t="s">
        <v>36</v>
      </c>
      <c r="P815" t="s">
        <v>26</v>
      </c>
    </row>
    <row r="816" spans="1:16" x14ac:dyDescent="0.2">
      <c r="A816" t="s">
        <v>366</v>
      </c>
      <c r="B816" t="s">
        <v>367</v>
      </c>
      <c r="C816" t="s">
        <v>154</v>
      </c>
      <c r="D816" t="s">
        <v>368</v>
      </c>
      <c r="E816" t="s">
        <v>128</v>
      </c>
      <c r="F816" t="s">
        <v>807</v>
      </c>
      <c r="G816" t="s">
        <v>808</v>
      </c>
      <c r="H816" s="1">
        <v>11400</v>
      </c>
      <c r="I816" t="s">
        <v>371</v>
      </c>
      <c r="J816" t="s">
        <v>372</v>
      </c>
      <c r="L816" t="s">
        <v>366</v>
      </c>
      <c r="M816" s="1"/>
      <c r="N816" s="1"/>
      <c r="O816" t="s">
        <v>36</v>
      </c>
      <c r="P816" t="s">
        <v>26</v>
      </c>
    </row>
    <row r="817" spans="1:16" x14ac:dyDescent="0.2">
      <c r="A817" t="s">
        <v>366</v>
      </c>
      <c r="B817" t="s">
        <v>367</v>
      </c>
      <c r="C817" t="s">
        <v>154</v>
      </c>
      <c r="D817" t="s">
        <v>368</v>
      </c>
      <c r="E817" t="s">
        <v>128</v>
      </c>
      <c r="F817" t="s">
        <v>800</v>
      </c>
      <c r="G817" t="s">
        <v>801</v>
      </c>
      <c r="H817" s="1">
        <v>4080</v>
      </c>
      <c r="I817" t="s">
        <v>371</v>
      </c>
      <c r="J817" t="s">
        <v>372</v>
      </c>
      <c r="L817" t="s">
        <v>366</v>
      </c>
      <c r="M817" s="1"/>
      <c r="N817" s="1"/>
      <c r="O817" t="s">
        <v>36</v>
      </c>
      <c r="P817" t="s">
        <v>26</v>
      </c>
    </row>
    <row r="818" spans="1:16" x14ac:dyDescent="0.2">
      <c r="A818" t="s">
        <v>366</v>
      </c>
      <c r="B818" t="s">
        <v>367</v>
      </c>
      <c r="C818" t="s">
        <v>154</v>
      </c>
      <c r="D818" t="s">
        <v>368</v>
      </c>
      <c r="E818" t="s">
        <v>128</v>
      </c>
      <c r="F818" t="s">
        <v>800</v>
      </c>
      <c r="G818" t="s">
        <v>801</v>
      </c>
      <c r="H818" s="1">
        <v>21409.200000000001</v>
      </c>
      <c r="I818" t="s">
        <v>371</v>
      </c>
      <c r="J818" t="s">
        <v>372</v>
      </c>
      <c r="L818" t="s">
        <v>366</v>
      </c>
      <c r="M818" s="1"/>
      <c r="N818" s="1"/>
      <c r="O818" t="s">
        <v>36</v>
      </c>
      <c r="P818" t="s">
        <v>26</v>
      </c>
    </row>
    <row r="819" spans="1:16" x14ac:dyDescent="0.2">
      <c r="A819" t="s">
        <v>366</v>
      </c>
      <c r="B819" t="s">
        <v>367</v>
      </c>
      <c r="C819" t="s">
        <v>154</v>
      </c>
      <c r="D819" t="s">
        <v>368</v>
      </c>
      <c r="E819" t="s">
        <v>128</v>
      </c>
      <c r="F819" t="s">
        <v>1653</v>
      </c>
      <c r="G819" t="s">
        <v>1654</v>
      </c>
      <c r="H819" s="1">
        <v>20279.5</v>
      </c>
      <c r="I819" t="s">
        <v>371</v>
      </c>
      <c r="J819" t="s">
        <v>422</v>
      </c>
      <c r="L819" t="s">
        <v>366</v>
      </c>
      <c r="M819" s="1"/>
      <c r="N819" s="1"/>
      <c r="O819" t="s">
        <v>36</v>
      </c>
      <c r="P819" t="s">
        <v>26</v>
      </c>
    </row>
    <row r="820" spans="1:16" x14ac:dyDescent="0.2">
      <c r="A820" t="s">
        <v>366</v>
      </c>
      <c r="B820" t="s">
        <v>367</v>
      </c>
      <c r="C820" t="s">
        <v>154</v>
      </c>
      <c r="D820" t="s">
        <v>368</v>
      </c>
      <c r="E820" t="s">
        <v>128</v>
      </c>
      <c r="F820" t="s">
        <v>1655</v>
      </c>
      <c r="G820" t="s">
        <v>1656</v>
      </c>
      <c r="H820" s="1">
        <v>42300</v>
      </c>
      <c r="I820" t="s">
        <v>371</v>
      </c>
      <c r="J820" t="s">
        <v>372</v>
      </c>
      <c r="L820" t="s">
        <v>366</v>
      </c>
      <c r="M820" s="1"/>
      <c r="N820" s="1"/>
      <c r="O820" t="s">
        <v>36</v>
      </c>
      <c r="P820" t="s">
        <v>26</v>
      </c>
    </row>
    <row r="821" spans="1:16" x14ac:dyDescent="0.2">
      <c r="A821" t="s">
        <v>366</v>
      </c>
      <c r="B821" t="s">
        <v>367</v>
      </c>
      <c r="C821" t="s">
        <v>812</v>
      </c>
      <c r="D821" t="s">
        <v>813</v>
      </c>
      <c r="E821" t="s">
        <v>96</v>
      </c>
      <c r="F821" t="s">
        <v>369</v>
      </c>
      <c r="G821" t="s">
        <v>370</v>
      </c>
      <c r="H821" s="1">
        <v>30554</v>
      </c>
      <c r="I821" t="s">
        <v>814</v>
      </c>
      <c r="J821" t="s">
        <v>372</v>
      </c>
      <c r="L821" t="s">
        <v>366</v>
      </c>
      <c r="M821" s="1"/>
      <c r="N821" s="1"/>
      <c r="O821" t="s">
        <v>36</v>
      </c>
      <c r="P821" t="s">
        <v>26</v>
      </c>
    </row>
    <row r="822" spans="1:16" x14ac:dyDescent="0.2">
      <c r="A822" t="s">
        <v>366</v>
      </c>
      <c r="B822" t="s">
        <v>367</v>
      </c>
      <c r="C822" t="s">
        <v>812</v>
      </c>
      <c r="D822" t="s">
        <v>813</v>
      </c>
      <c r="E822" t="s">
        <v>96</v>
      </c>
      <c r="F822" t="s">
        <v>807</v>
      </c>
      <c r="G822" t="s">
        <v>808</v>
      </c>
      <c r="H822" s="1">
        <v>15200</v>
      </c>
      <c r="I822" t="s">
        <v>814</v>
      </c>
      <c r="J822" t="s">
        <v>372</v>
      </c>
      <c r="L822" t="s">
        <v>366</v>
      </c>
      <c r="M822" s="1"/>
      <c r="N822" s="1"/>
      <c r="O822" t="s">
        <v>36</v>
      </c>
      <c r="P822" t="s">
        <v>26</v>
      </c>
    </row>
    <row r="823" spans="1:16" x14ac:dyDescent="0.2">
      <c r="A823" t="s">
        <v>366</v>
      </c>
      <c r="B823" t="s">
        <v>367</v>
      </c>
      <c r="C823" t="s">
        <v>812</v>
      </c>
      <c r="D823" t="s">
        <v>813</v>
      </c>
      <c r="E823" t="s">
        <v>96</v>
      </c>
      <c r="F823" t="s">
        <v>800</v>
      </c>
      <c r="G823" t="s">
        <v>801</v>
      </c>
      <c r="H823" s="1">
        <v>28545.599999999999</v>
      </c>
      <c r="I823" t="s">
        <v>814</v>
      </c>
      <c r="J823" t="s">
        <v>372</v>
      </c>
      <c r="L823" t="s">
        <v>366</v>
      </c>
      <c r="M823" s="1"/>
      <c r="N823" s="1"/>
      <c r="O823" t="s">
        <v>36</v>
      </c>
      <c r="P823" t="s">
        <v>26</v>
      </c>
    </row>
    <row r="824" spans="1:16" x14ac:dyDescent="0.2">
      <c r="A824" t="s">
        <v>366</v>
      </c>
      <c r="B824" t="s">
        <v>367</v>
      </c>
      <c r="C824" t="s">
        <v>575</v>
      </c>
      <c r="D824" t="s">
        <v>815</v>
      </c>
      <c r="E824" t="s">
        <v>96</v>
      </c>
      <c r="F824" t="s">
        <v>807</v>
      </c>
      <c r="G824" t="s">
        <v>808</v>
      </c>
      <c r="H824" s="1">
        <v>9120</v>
      </c>
      <c r="I824" t="s">
        <v>816</v>
      </c>
      <c r="J824" t="s">
        <v>372</v>
      </c>
      <c r="L824" t="s">
        <v>366</v>
      </c>
      <c r="M824" s="1"/>
      <c r="N824" s="1"/>
      <c r="O824" t="s">
        <v>36</v>
      </c>
      <c r="P824" t="s">
        <v>26</v>
      </c>
    </row>
    <row r="825" spans="1:16" x14ac:dyDescent="0.2">
      <c r="A825" t="s">
        <v>366</v>
      </c>
      <c r="B825" t="s">
        <v>367</v>
      </c>
      <c r="C825" t="s">
        <v>575</v>
      </c>
      <c r="D825" t="s">
        <v>815</v>
      </c>
      <c r="E825" t="s">
        <v>96</v>
      </c>
      <c r="F825" t="s">
        <v>800</v>
      </c>
      <c r="G825" t="s">
        <v>801</v>
      </c>
      <c r="H825" s="1">
        <v>19268.3</v>
      </c>
      <c r="I825" t="s">
        <v>816</v>
      </c>
      <c r="J825" t="s">
        <v>372</v>
      </c>
      <c r="L825" t="s">
        <v>366</v>
      </c>
      <c r="M825" s="1"/>
      <c r="N825" s="1"/>
      <c r="O825" t="s">
        <v>36</v>
      </c>
      <c r="P825" t="s">
        <v>26</v>
      </c>
    </row>
    <row r="826" spans="1:16" x14ac:dyDescent="0.2">
      <c r="A826" t="s">
        <v>366</v>
      </c>
      <c r="B826" t="s">
        <v>367</v>
      </c>
      <c r="C826" t="s">
        <v>817</v>
      </c>
      <c r="D826" t="s">
        <v>818</v>
      </c>
      <c r="E826" t="s">
        <v>96</v>
      </c>
      <c r="F826" t="s">
        <v>807</v>
      </c>
      <c r="G826" t="s">
        <v>808</v>
      </c>
      <c r="H826" s="1">
        <v>2280</v>
      </c>
      <c r="I826" t="s">
        <v>819</v>
      </c>
      <c r="J826" t="s">
        <v>372</v>
      </c>
      <c r="L826" t="s">
        <v>366</v>
      </c>
      <c r="M826" s="1"/>
      <c r="N826" s="1"/>
      <c r="O826" t="s">
        <v>36</v>
      </c>
      <c r="P826" t="s">
        <v>26</v>
      </c>
    </row>
    <row r="827" spans="1:16" x14ac:dyDescent="0.2">
      <c r="A827" t="s">
        <v>366</v>
      </c>
      <c r="B827" t="s">
        <v>367</v>
      </c>
      <c r="C827" t="s">
        <v>820</v>
      </c>
      <c r="D827" t="s">
        <v>821</v>
      </c>
      <c r="E827" t="s">
        <v>96</v>
      </c>
      <c r="F827" t="s">
        <v>807</v>
      </c>
      <c r="G827" t="s">
        <v>808</v>
      </c>
      <c r="H827" s="1">
        <v>8360</v>
      </c>
      <c r="I827" t="s">
        <v>822</v>
      </c>
      <c r="J827" t="s">
        <v>372</v>
      </c>
      <c r="L827" t="s">
        <v>366</v>
      </c>
      <c r="M827" s="1"/>
      <c r="N827" s="1"/>
      <c r="O827" t="s">
        <v>36</v>
      </c>
      <c r="P827" t="s">
        <v>26</v>
      </c>
    </row>
    <row r="828" spans="1:16" x14ac:dyDescent="0.2">
      <c r="A828" t="s">
        <v>366</v>
      </c>
      <c r="B828" t="s">
        <v>367</v>
      </c>
      <c r="C828" t="s">
        <v>820</v>
      </c>
      <c r="D828" t="s">
        <v>821</v>
      </c>
      <c r="E828" t="s">
        <v>96</v>
      </c>
      <c r="F828" t="s">
        <v>800</v>
      </c>
      <c r="G828" t="s">
        <v>801</v>
      </c>
      <c r="H828" s="1">
        <v>18554.599999999999</v>
      </c>
      <c r="I828" t="s">
        <v>822</v>
      </c>
      <c r="J828" t="s">
        <v>372</v>
      </c>
      <c r="L828" t="s">
        <v>366</v>
      </c>
      <c r="M828" s="1"/>
      <c r="N828" s="1"/>
      <c r="O828" t="s">
        <v>36</v>
      </c>
      <c r="P828" t="s">
        <v>26</v>
      </c>
    </row>
    <row r="829" spans="1:16" x14ac:dyDescent="0.2">
      <c r="A829" t="s">
        <v>366</v>
      </c>
      <c r="B829" t="s">
        <v>367</v>
      </c>
      <c r="C829" t="s">
        <v>825</v>
      </c>
      <c r="D829" t="s">
        <v>826</v>
      </c>
      <c r="E829" t="s">
        <v>96</v>
      </c>
      <c r="F829" t="s">
        <v>762</v>
      </c>
      <c r="G829" t="s">
        <v>763</v>
      </c>
      <c r="H829" s="1">
        <v>7852.5</v>
      </c>
      <c r="I829" t="s">
        <v>827</v>
      </c>
      <c r="J829" t="s">
        <v>422</v>
      </c>
      <c r="L829" t="s">
        <v>366</v>
      </c>
      <c r="M829" s="1"/>
      <c r="N829" s="1"/>
      <c r="O829" t="s">
        <v>36</v>
      </c>
      <c r="P829" t="s">
        <v>26</v>
      </c>
    </row>
    <row r="830" spans="1:16" x14ac:dyDescent="0.2">
      <c r="A830" t="s">
        <v>366</v>
      </c>
      <c r="B830" t="s">
        <v>367</v>
      </c>
      <c r="C830" t="s">
        <v>828</v>
      </c>
      <c r="D830" t="s">
        <v>829</v>
      </c>
      <c r="E830" t="s">
        <v>96</v>
      </c>
      <c r="F830" t="s">
        <v>762</v>
      </c>
      <c r="G830" t="s">
        <v>763</v>
      </c>
      <c r="H830" s="1">
        <v>6980</v>
      </c>
      <c r="I830" t="s">
        <v>827</v>
      </c>
      <c r="J830" t="s">
        <v>422</v>
      </c>
      <c r="L830" t="s">
        <v>366</v>
      </c>
      <c r="M830" s="1"/>
      <c r="N830" s="1"/>
      <c r="O830" t="s">
        <v>36</v>
      </c>
      <c r="P830" t="s">
        <v>26</v>
      </c>
    </row>
    <row r="831" spans="1:16" x14ac:dyDescent="0.2">
      <c r="A831" t="s">
        <v>366</v>
      </c>
      <c r="B831" t="s">
        <v>367</v>
      </c>
      <c r="C831" t="s">
        <v>723</v>
      </c>
      <c r="D831" t="s">
        <v>832</v>
      </c>
      <c r="E831" t="s">
        <v>96</v>
      </c>
      <c r="F831" t="s">
        <v>762</v>
      </c>
      <c r="G831" t="s">
        <v>763</v>
      </c>
      <c r="H831" s="1">
        <v>14832.5</v>
      </c>
      <c r="I831" t="s">
        <v>833</v>
      </c>
      <c r="J831" t="s">
        <v>422</v>
      </c>
      <c r="L831" t="s">
        <v>366</v>
      </c>
      <c r="M831" s="1"/>
      <c r="N831" s="1"/>
      <c r="O831" t="s">
        <v>36</v>
      </c>
      <c r="P831" t="s">
        <v>26</v>
      </c>
    </row>
    <row r="832" spans="1:16" x14ac:dyDescent="0.2">
      <c r="A832" t="s">
        <v>366</v>
      </c>
      <c r="B832" t="s">
        <v>367</v>
      </c>
      <c r="C832" t="s">
        <v>834</v>
      </c>
      <c r="D832" t="s">
        <v>835</v>
      </c>
      <c r="E832" t="s">
        <v>96</v>
      </c>
      <c r="F832" t="s">
        <v>800</v>
      </c>
      <c r="G832" t="s">
        <v>801</v>
      </c>
      <c r="H832" s="1">
        <v>4119.8999999999996</v>
      </c>
      <c r="I832" t="s">
        <v>836</v>
      </c>
      <c r="J832" t="s">
        <v>372</v>
      </c>
      <c r="L832" t="s">
        <v>366</v>
      </c>
      <c r="M832" s="1"/>
      <c r="N832" s="1"/>
      <c r="O832" t="s">
        <v>36</v>
      </c>
      <c r="P832" t="s">
        <v>26</v>
      </c>
    </row>
    <row r="833" spans="1:16" x14ac:dyDescent="0.2">
      <c r="A833" t="s">
        <v>366</v>
      </c>
      <c r="B833" t="s">
        <v>367</v>
      </c>
      <c r="C833" t="s">
        <v>842</v>
      </c>
      <c r="D833" t="s">
        <v>843</v>
      </c>
      <c r="E833" t="s">
        <v>19</v>
      </c>
      <c r="F833" t="s">
        <v>369</v>
      </c>
      <c r="G833" t="s">
        <v>370</v>
      </c>
      <c r="H833" s="1">
        <v>15440</v>
      </c>
      <c r="I833" t="s">
        <v>844</v>
      </c>
      <c r="J833" t="s">
        <v>372</v>
      </c>
      <c r="L833" t="s">
        <v>366</v>
      </c>
      <c r="M833" s="1"/>
      <c r="N833" s="1"/>
      <c r="O833" t="s">
        <v>36</v>
      </c>
      <c r="P833" t="s">
        <v>26</v>
      </c>
    </row>
    <row r="834" spans="1:16" x14ac:dyDescent="0.2">
      <c r="A834" t="s">
        <v>50</v>
      </c>
      <c r="B834" t="s">
        <v>379</v>
      </c>
      <c r="C834" t="s">
        <v>380</v>
      </c>
      <c r="D834">
        <v>53700007685</v>
      </c>
      <c r="E834" t="s">
        <v>192</v>
      </c>
      <c r="F834" t="s">
        <v>403</v>
      </c>
      <c r="G834" t="s">
        <v>404</v>
      </c>
      <c r="H834" s="1">
        <v>367546</v>
      </c>
      <c r="I834" t="s">
        <v>381</v>
      </c>
      <c r="J834" t="s">
        <v>56</v>
      </c>
      <c r="L834" t="s">
        <v>40</v>
      </c>
      <c r="M834" s="1"/>
      <c r="N834" s="1"/>
      <c r="O834" t="s">
        <v>382</v>
      </c>
      <c r="P834" t="s">
        <v>26</v>
      </c>
    </row>
    <row r="835" spans="1:16" x14ac:dyDescent="0.2">
      <c r="A835" t="s">
        <v>50</v>
      </c>
      <c r="B835" t="s">
        <v>379</v>
      </c>
      <c r="C835" t="s">
        <v>605</v>
      </c>
      <c r="D835">
        <v>53700007517</v>
      </c>
      <c r="E835" t="s">
        <v>192</v>
      </c>
      <c r="F835" t="s">
        <v>403</v>
      </c>
      <c r="G835" t="s">
        <v>404</v>
      </c>
      <c r="H835" s="1">
        <v>64264.1</v>
      </c>
      <c r="I835" t="s">
        <v>850</v>
      </c>
      <c r="J835" t="s">
        <v>56</v>
      </c>
      <c r="L835" t="s">
        <v>40</v>
      </c>
      <c r="M835" s="1"/>
      <c r="N835" s="1"/>
      <c r="O835" t="s">
        <v>382</v>
      </c>
      <c r="P835" t="s">
        <v>26</v>
      </c>
    </row>
    <row r="836" spans="1:16" x14ac:dyDescent="0.2">
      <c r="A836" t="s">
        <v>50</v>
      </c>
      <c r="B836" t="s">
        <v>379</v>
      </c>
      <c r="C836" t="s">
        <v>851</v>
      </c>
      <c r="D836">
        <v>53700006117</v>
      </c>
      <c r="E836" t="s">
        <v>38</v>
      </c>
      <c r="F836" t="s">
        <v>403</v>
      </c>
      <c r="G836" t="s">
        <v>404</v>
      </c>
      <c r="H836" s="1">
        <v>34320.6</v>
      </c>
      <c r="I836" t="s">
        <v>852</v>
      </c>
      <c r="J836" t="s">
        <v>56</v>
      </c>
      <c r="L836" t="s">
        <v>40</v>
      </c>
      <c r="M836" s="1"/>
      <c r="N836" s="1"/>
      <c r="O836" t="s">
        <v>382</v>
      </c>
      <c r="P836" t="s">
        <v>26</v>
      </c>
    </row>
    <row r="837" spans="1:16" x14ac:dyDescent="0.2">
      <c r="A837" t="s">
        <v>50</v>
      </c>
      <c r="B837" t="s">
        <v>379</v>
      </c>
      <c r="C837" t="s">
        <v>408</v>
      </c>
      <c r="D837">
        <v>53700013267</v>
      </c>
      <c r="E837" t="s">
        <v>38</v>
      </c>
      <c r="F837" t="s">
        <v>403</v>
      </c>
      <c r="G837" t="s">
        <v>404</v>
      </c>
      <c r="H837" s="1">
        <v>25864.799999999999</v>
      </c>
      <c r="I837" t="s">
        <v>409</v>
      </c>
      <c r="J837" t="s">
        <v>56</v>
      </c>
      <c r="L837" t="s">
        <v>40</v>
      </c>
      <c r="M837" s="1"/>
      <c r="N837" s="1"/>
      <c r="O837" t="s">
        <v>382</v>
      </c>
      <c r="P837" t="s">
        <v>26</v>
      </c>
    </row>
    <row r="838" spans="1:16" x14ac:dyDescent="0.2">
      <c r="A838" t="s">
        <v>50</v>
      </c>
      <c r="B838" t="s">
        <v>379</v>
      </c>
      <c r="C838" t="s">
        <v>855</v>
      </c>
      <c r="D838">
        <v>53700006547</v>
      </c>
      <c r="E838" t="s">
        <v>38</v>
      </c>
      <c r="F838" t="s">
        <v>403</v>
      </c>
      <c r="G838" t="s">
        <v>404</v>
      </c>
      <c r="H838" s="1">
        <v>91451.3</v>
      </c>
      <c r="I838" t="s">
        <v>856</v>
      </c>
      <c r="J838" t="s">
        <v>56</v>
      </c>
      <c r="L838" t="s">
        <v>40</v>
      </c>
      <c r="M838" s="1"/>
      <c r="N838" s="1"/>
      <c r="O838" t="s">
        <v>382</v>
      </c>
      <c r="P838" t="s">
        <v>26</v>
      </c>
    </row>
    <row r="839" spans="1:16" x14ac:dyDescent="0.2">
      <c r="A839" t="s">
        <v>50</v>
      </c>
      <c r="B839" t="s">
        <v>379</v>
      </c>
      <c r="C839" t="s">
        <v>473</v>
      </c>
      <c r="D839">
        <v>53700011287</v>
      </c>
      <c r="E839" t="s">
        <v>38</v>
      </c>
      <c r="F839" t="s">
        <v>403</v>
      </c>
      <c r="G839" t="s">
        <v>404</v>
      </c>
      <c r="H839" s="1">
        <v>160362</v>
      </c>
      <c r="I839" t="s">
        <v>857</v>
      </c>
      <c r="J839" t="s">
        <v>56</v>
      </c>
      <c r="L839" t="s">
        <v>40</v>
      </c>
      <c r="M839" s="1"/>
      <c r="N839" s="1"/>
      <c r="O839" t="s">
        <v>382</v>
      </c>
      <c r="P839" t="s">
        <v>26</v>
      </c>
    </row>
    <row r="840" spans="1:16" x14ac:dyDescent="0.2">
      <c r="A840" t="s">
        <v>50</v>
      </c>
      <c r="B840" t="s">
        <v>379</v>
      </c>
      <c r="C840" t="s">
        <v>391</v>
      </c>
      <c r="D840">
        <v>53700012048</v>
      </c>
      <c r="E840" t="s">
        <v>38</v>
      </c>
      <c r="F840" t="s">
        <v>403</v>
      </c>
      <c r="G840" t="s">
        <v>404</v>
      </c>
      <c r="H840" s="1">
        <v>64262.6</v>
      </c>
      <c r="I840" t="s">
        <v>392</v>
      </c>
      <c r="J840" t="s">
        <v>56</v>
      </c>
      <c r="L840" t="s">
        <v>40</v>
      </c>
      <c r="M840" s="1"/>
      <c r="N840" s="1"/>
      <c r="O840" t="s">
        <v>382</v>
      </c>
      <c r="P840" t="s">
        <v>26</v>
      </c>
    </row>
    <row r="841" spans="1:16" x14ac:dyDescent="0.2">
      <c r="A841" t="s">
        <v>50</v>
      </c>
      <c r="B841" t="s">
        <v>379</v>
      </c>
      <c r="C841" t="s">
        <v>402</v>
      </c>
      <c r="D841">
        <v>53700007884</v>
      </c>
      <c r="E841" t="s">
        <v>38</v>
      </c>
      <c r="F841" t="s">
        <v>20</v>
      </c>
      <c r="G841" t="s">
        <v>21</v>
      </c>
      <c r="H841" s="1">
        <v>7.82</v>
      </c>
      <c r="I841" t="s">
        <v>405</v>
      </c>
      <c r="J841" t="s">
        <v>23</v>
      </c>
      <c r="L841" t="s">
        <v>24</v>
      </c>
      <c r="M841" s="1"/>
      <c r="N841" s="1"/>
      <c r="O841" t="s">
        <v>382</v>
      </c>
      <c r="P841" t="s">
        <v>26</v>
      </c>
    </row>
    <row r="842" spans="1:16" x14ac:dyDescent="0.2">
      <c r="A842" t="s">
        <v>50</v>
      </c>
      <c r="B842" t="s">
        <v>379</v>
      </c>
      <c r="C842" t="s">
        <v>410</v>
      </c>
      <c r="D842">
        <v>53700007901</v>
      </c>
      <c r="E842" t="s">
        <v>38</v>
      </c>
      <c r="F842" t="s">
        <v>403</v>
      </c>
      <c r="G842" t="s">
        <v>404</v>
      </c>
      <c r="H842" s="1">
        <v>10445.4</v>
      </c>
      <c r="I842" t="s">
        <v>411</v>
      </c>
      <c r="J842" t="s">
        <v>56</v>
      </c>
      <c r="L842" t="s">
        <v>40</v>
      </c>
      <c r="M842" s="1"/>
      <c r="N842" s="1"/>
      <c r="O842" t="s">
        <v>382</v>
      </c>
      <c r="P842" t="s">
        <v>26</v>
      </c>
    </row>
    <row r="843" spans="1:16" x14ac:dyDescent="0.2">
      <c r="A843" t="s">
        <v>50</v>
      </c>
      <c r="B843" t="s">
        <v>379</v>
      </c>
      <c r="C843" t="s">
        <v>400</v>
      </c>
      <c r="D843">
        <v>53700007902</v>
      </c>
      <c r="E843" t="s">
        <v>38</v>
      </c>
      <c r="F843" t="s">
        <v>403</v>
      </c>
      <c r="G843" t="s">
        <v>404</v>
      </c>
      <c r="H843" s="1">
        <v>7361.52</v>
      </c>
      <c r="I843" t="s">
        <v>401</v>
      </c>
      <c r="J843" t="s">
        <v>56</v>
      </c>
      <c r="L843" t="s">
        <v>40</v>
      </c>
      <c r="M843" s="1"/>
      <c r="N843" s="1"/>
      <c r="O843" t="s">
        <v>382</v>
      </c>
      <c r="P843" t="s">
        <v>26</v>
      </c>
    </row>
    <row r="844" spans="1:16" x14ac:dyDescent="0.2">
      <c r="A844" t="s">
        <v>50</v>
      </c>
      <c r="B844" t="s">
        <v>379</v>
      </c>
      <c r="C844" t="s">
        <v>858</v>
      </c>
      <c r="D844">
        <v>53700007589</v>
      </c>
      <c r="E844" t="s">
        <v>38</v>
      </c>
      <c r="F844" t="s">
        <v>20</v>
      </c>
      <c r="G844" t="s">
        <v>21</v>
      </c>
      <c r="H844" s="1">
        <v>9.9600000000000009</v>
      </c>
      <c r="I844" t="s">
        <v>859</v>
      </c>
      <c r="J844" t="s">
        <v>23</v>
      </c>
      <c r="L844" t="s">
        <v>24</v>
      </c>
      <c r="M844" s="1"/>
      <c r="N844" s="1"/>
      <c r="O844" t="s">
        <v>382</v>
      </c>
      <c r="P844" t="s">
        <v>26</v>
      </c>
    </row>
    <row r="845" spans="1:16" x14ac:dyDescent="0.2">
      <c r="A845" t="s">
        <v>50</v>
      </c>
      <c r="B845" t="s">
        <v>379</v>
      </c>
      <c r="C845" t="s">
        <v>497</v>
      </c>
      <c r="D845">
        <v>53700010844</v>
      </c>
      <c r="E845" t="s">
        <v>71</v>
      </c>
      <c r="F845" t="s">
        <v>1657</v>
      </c>
      <c r="G845" t="s">
        <v>1658</v>
      </c>
      <c r="H845" s="1">
        <v>11650.8</v>
      </c>
      <c r="I845" t="s">
        <v>862</v>
      </c>
      <c r="J845" t="s">
        <v>56</v>
      </c>
      <c r="L845" t="s">
        <v>1509</v>
      </c>
      <c r="M845" s="1"/>
      <c r="N845" s="1"/>
      <c r="O845" t="s">
        <v>382</v>
      </c>
      <c r="P845" t="s">
        <v>26</v>
      </c>
    </row>
    <row r="846" spans="1:16" x14ac:dyDescent="0.2">
      <c r="A846" t="s">
        <v>50</v>
      </c>
      <c r="B846" t="s">
        <v>379</v>
      </c>
      <c r="C846" t="s">
        <v>497</v>
      </c>
      <c r="D846">
        <v>53700010844</v>
      </c>
      <c r="E846" t="s">
        <v>71</v>
      </c>
      <c r="F846" t="s">
        <v>1659</v>
      </c>
      <c r="G846" t="s">
        <v>1660</v>
      </c>
      <c r="H846" s="1">
        <v>6149.92</v>
      </c>
      <c r="I846" t="s">
        <v>862</v>
      </c>
      <c r="J846" t="s">
        <v>56</v>
      </c>
      <c r="L846" t="s">
        <v>1534</v>
      </c>
      <c r="M846" s="1"/>
      <c r="N846" s="1"/>
      <c r="O846" t="s">
        <v>382</v>
      </c>
      <c r="P846" t="s">
        <v>26</v>
      </c>
    </row>
    <row r="847" spans="1:16" x14ac:dyDescent="0.2">
      <c r="A847" t="s">
        <v>50</v>
      </c>
      <c r="B847" t="s">
        <v>379</v>
      </c>
      <c r="C847" t="s">
        <v>497</v>
      </c>
      <c r="D847">
        <v>53700010844</v>
      </c>
      <c r="E847" t="s">
        <v>71</v>
      </c>
      <c r="F847" t="s">
        <v>1661</v>
      </c>
      <c r="G847" t="s">
        <v>1662</v>
      </c>
      <c r="H847" s="1">
        <v>7215.65</v>
      </c>
      <c r="I847" t="s">
        <v>862</v>
      </c>
      <c r="J847" t="s">
        <v>56</v>
      </c>
      <c r="L847" t="s">
        <v>1663</v>
      </c>
      <c r="M847" s="1"/>
      <c r="N847" s="1"/>
      <c r="O847" t="s">
        <v>382</v>
      </c>
      <c r="P847" t="s">
        <v>26</v>
      </c>
    </row>
    <row r="848" spans="1:16" x14ac:dyDescent="0.2">
      <c r="A848" t="s">
        <v>50</v>
      </c>
      <c r="B848" t="s">
        <v>379</v>
      </c>
      <c r="C848" t="s">
        <v>863</v>
      </c>
      <c r="D848">
        <v>53700007857</v>
      </c>
      <c r="E848" t="s">
        <v>71</v>
      </c>
      <c r="F848" t="s">
        <v>403</v>
      </c>
      <c r="G848" t="s">
        <v>404</v>
      </c>
      <c r="H848" s="1">
        <v>15002.5</v>
      </c>
      <c r="I848" t="s">
        <v>864</v>
      </c>
      <c r="J848" t="s">
        <v>56</v>
      </c>
      <c r="L848" t="s">
        <v>40</v>
      </c>
      <c r="M848" s="1"/>
      <c r="N848" s="1"/>
      <c r="O848" t="s">
        <v>382</v>
      </c>
      <c r="P848" t="s">
        <v>26</v>
      </c>
    </row>
    <row r="849" spans="1:16" x14ac:dyDescent="0.2">
      <c r="A849" t="s">
        <v>50</v>
      </c>
      <c r="B849" t="s">
        <v>379</v>
      </c>
      <c r="C849" t="s">
        <v>865</v>
      </c>
      <c r="D849">
        <v>53700006843</v>
      </c>
      <c r="E849" t="s">
        <v>71</v>
      </c>
      <c r="F849" t="s">
        <v>1657</v>
      </c>
      <c r="G849" t="s">
        <v>1658</v>
      </c>
      <c r="H849" s="1">
        <v>7214.72</v>
      </c>
      <c r="I849" t="s">
        <v>866</v>
      </c>
      <c r="J849" t="s">
        <v>56</v>
      </c>
      <c r="L849" t="s">
        <v>1509</v>
      </c>
      <c r="M849" s="1"/>
      <c r="N849" s="1"/>
      <c r="O849" t="s">
        <v>382</v>
      </c>
      <c r="P849" t="s">
        <v>26</v>
      </c>
    </row>
    <row r="850" spans="1:16" x14ac:dyDescent="0.2">
      <c r="A850" t="s">
        <v>50</v>
      </c>
      <c r="B850" t="s">
        <v>379</v>
      </c>
      <c r="C850" t="s">
        <v>865</v>
      </c>
      <c r="D850">
        <v>53700006843</v>
      </c>
      <c r="E850" t="s">
        <v>71</v>
      </c>
      <c r="F850" t="s">
        <v>1664</v>
      </c>
      <c r="G850" t="s">
        <v>1665</v>
      </c>
      <c r="H850" s="1">
        <v>14996.2</v>
      </c>
      <c r="I850" t="s">
        <v>866</v>
      </c>
      <c r="J850" t="s">
        <v>56</v>
      </c>
      <c r="L850" t="s">
        <v>1663</v>
      </c>
      <c r="M850" s="1"/>
      <c r="N850" s="1"/>
      <c r="O850" t="s">
        <v>382</v>
      </c>
      <c r="P850" t="s">
        <v>26</v>
      </c>
    </row>
    <row r="851" spans="1:16" x14ac:dyDescent="0.2">
      <c r="A851" t="s">
        <v>50</v>
      </c>
      <c r="B851" t="s">
        <v>379</v>
      </c>
      <c r="C851" t="s">
        <v>44</v>
      </c>
      <c r="D851">
        <v>53700009908</v>
      </c>
      <c r="E851" t="s">
        <v>44</v>
      </c>
      <c r="F851" t="s">
        <v>20</v>
      </c>
      <c r="G851" t="s">
        <v>21</v>
      </c>
      <c r="H851" s="1">
        <v>361.47</v>
      </c>
      <c r="I851" t="s">
        <v>512</v>
      </c>
      <c r="J851" t="s">
        <v>23</v>
      </c>
      <c r="L851" t="s">
        <v>24</v>
      </c>
      <c r="M851" s="1"/>
      <c r="N851" s="1"/>
      <c r="O851" t="s">
        <v>382</v>
      </c>
      <c r="P851" t="s">
        <v>26</v>
      </c>
    </row>
    <row r="852" spans="1:16" x14ac:dyDescent="0.2">
      <c r="A852" t="s">
        <v>50</v>
      </c>
      <c r="B852" t="s">
        <v>379</v>
      </c>
      <c r="C852" t="s">
        <v>867</v>
      </c>
      <c r="D852">
        <v>53700009958</v>
      </c>
      <c r="E852" t="s">
        <v>44</v>
      </c>
      <c r="F852" t="s">
        <v>403</v>
      </c>
      <c r="G852" t="s">
        <v>404</v>
      </c>
      <c r="H852" s="1">
        <v>135293</v>
      </c>
      <c r="I852" t="s">
        <v>868</v>
      </c>
      <c r="J852" t="s">
        <v>56</v>
      </c>
      <c r="L852" t="s">
        <v>40</v>
      </c>
      <c r="M852" s="1"/>
      <c r="N852" s="1"/>
      <c r="O852" t="s">
        <v>382</v>
      </c>
      <c r="P852" t="s">
        <v>26</v>
      </c>
    </row>
    <row r="853" spans="1:16" x14ac:dyDescent="0.2">
      <c r="A853" t="s">
        <v>50</v>
      </c>
      <c r="B853" t="s">
        <v>379</v>
      </c>
      <c r="C853" t="s">
        <v>869</v>
      </c>
      <c r="D853">
        <v>53700008432</v>
      </c>
      <c r="E853" t="s">
        <v>128</v>
      </c>
      <c r="F853" t="s">
        <v>20</v>
      </c>
      <c r="G853" t="s">
        <v>21</v>
      </c>
      <c r="H853" s="1">
        <v>1.61</v>
      </c>
      <c r="I853" t="s">
        <v>870</v>
      </c>
      <c r="J853" t="s">
        <v>23</v>
      </c>
      <c r="L853" t="s">
        <v>24</v>
      </c>
      <c r="M853" s="1"/>
      <c r="N853" s="1"/>
      <c r="O853" t="s">
        <v>382</v>
      </c>
      <c r="P853" t="s">
        <v>26</v>
      </c>
    </row>
    <row r="854" spans="1:16" x14ac:dyDescent="0.2">
      <c r="A854" t="s">
        <v>50</v>
      </c>
      <c r="B854" t="s">
        <v>379</v>
      </c>
      <c r="C854" t="s">
        <v>871</v>
      </c>
      <c r="D854">
        <v>53700012747</v>
      </c>
      <c r="E854" t="s">
        <v>19</v>
      </c>
      <c r="F854" t="s">
        <v>1666</v>
      </c>
      <c r="G854" t="s">
        <v>1667</v>
      </c>
      <c r="H854" s="1">
        <v>10000</v>
      </c>
      <c r="I854" t="s">
        <v>413</v>
      </c>
      <c r="J854" t="s">
        <v>674</v>
      </c>
      <c r="L854" t="s">
        <v>675</v>
      </c>
      <c r="M854" s="1"/>
      <c r="N854" s="1"/>
      <c r="O854" t="s">
        <v>382</v>
      </c>
      <c r="P854" t="s">
        <v>26</v>
      </c>
    </row>
    <row r="855" spans="1:16" x14ac:dyDescent="0.2">
      <c r="A855" t="s">
        <v>50</v>
      </c>
      <c r="B855" t="s">
        <v>379</v>
      </c>
      <c r="C855" t="s">
        <v>412</v>
      </c>
      <c r="D855">
        <v>53700012744</v>
      </c>
      <c r="E855" t="s">
        <v>19</v>
      </c>
      <c r="F855" t="s">
        <v>403</v>
      </c>
      <c r="G855" t="s">
        <v>404</v>
      </c>
      <c r="H855" s="1">
        <v>3088.75</v>
      </c>
      <c r="I855" t="s">
        <v>413</v>
      </c>
      <c r="J855" t="s">
        <v>56</v>
      </c>
      <c r="L855" t="s">
        <v>40</v>
      </c>
      <c r="M855" s="1"/>
      <c r="N855" s="1"/>
      <c r="O855" t="s">
        <v>382</v>
      </c>
      <c r="P855" t="s">
        <v>26</v>
      </c>
    </row>
    <row r="856" spans="1:16" x14ac:dyDescent="0.2">
      <c r="A856" t="s">
        <v>50</v>
      </c>
      <c r="B856" t="s">
        <v>379</v>
      </c>
      <c r="C856" t="s">
        <v>874</v>
      </c>
      <c r="D856">
        <v>53700010961</v>
      </c>
      <c r="E856" t="s">
        <v>19</v>
      </c>
      <c r="F856" t="s">
        <v>20</v>
      </c>
      <c r="G856" t="s">
        <v>21</v>
      </c>
      <c r="H856" s="1">
        <v>-157.88</v>
      </c>
      <c r="I856" t="s">
        <v>873</v>
      </c>
      <c r="J856" t="s">
        <v>23</v>
      </c>
      <c r="L856" t="s">
        <v>24</v>
      </c>
      <c r="M856" s="1"/>
      <c r="N856" s="1"/>
      <c r="O856" t="s">
        <v>382</v>
      </c>
      <c r="P856" t="s">
        <v>26</v>
      </c>
    </row>
    <row r="857" spans="1:16" x14ac:dyDescent="0.2">
      <c r="A857" t="s">
        <v>50</v>
      </c>
      <c r="B857" t="s">
        <v>379</v>
      </c>
      <c r="C857" t="s">
        <v>877</v>
      </c>
      <c r="D857">
        <v>53700013815</v>
      </c>
      <c r="E857" t="s">
        <v>19</v>
      </c>
      <c r="F857" t="s">
        <v>403</v>
      </c>
      <c r="G857" t="s">
        <v>404</v>
      </c>
      <c r="H857" s="1">
        <v>56703.6</v>
      </c>
      <c r="I857" t="s">
        <v>878</v>
      </c>
      <c r="J857" t="s">
        <v>56</v>
      </c>
      <c r="L857" t="s">
        <v>40</v>
      </c>
      <c r="M857" s="1"/>
      <c r="N857" s="1"/>
      <c r="O857" t="s">
        <v>382</v>
      </c>
      <c r="P857" t="s">
        <v>26</v>
      </c>
    </row>
    <row r="858" spans="1:16" x14ac:dyDescent="0.2">
      <c r="A858" t="s">
        <v>50</v>
      </c>
      <c r="B858" t="s">
        <v>379</v>
      </c>
      <c r="C858" t="s">
        <v>847</v>
      </c>
      <c r="D858">
        <v>53700013814</v>
      </c>
      <c r="E858" t="s">
        <v>19</v>
      </c>
      <c r="F858" t="s">
        <v>1668</v>
      </c>
      <c r="G858" t="s">
        <v>1669</v>
      </c>
      <c r="H858" s="1">
        <v>7319.6</v>
      </c>
      <c r="I858" t="s">
        <v>878</v>
      </c>
      <c r="J858" t="s">
        <v>674</v>
      </c>
      <c r="L858" t="s">
        <v>1524</v>
      </c>
      <c r="M858" s="1"/>
      <c r="N858" s="1"/>
      <c r="O858" t="s">
        <v>382</v>
      </c>
      <c r="P858" t="s">
        <v>26</v>
      </c>
    </row>
    <row r="859" spans="1:16" x14ac:dyDescent="0.2">
      <c r="A859" t="s">
        <v>50</v>
      </c>
      <c r="B859" t="s">
        <v>379</v>
      </c>
      <c r="C859" t="s">
        <v>847</v>
      </c>
      <c r="D859">
        <v>53700013814</v>
      </c>
      <c r="E859" t="s">
        <v>19</v>
      </c>
      <c r="F859" t="s">
        <v>403</v>
      </c>
      <c r="G859" t="s">
        <v>404</v>
      </c>
      <c r="H859" s="1">
        <v>172100</v>
      </c>
      <c r="I859" t="s">
        <v>878</v>
      </c>
      <c r="J859" t="s">
        <v>56</v>
      </c>
      <c r="L859" t="s">
        <v>40</v>
      </c>
      <c r="M859" s="1"/>
      <c r="N859" s="1"/>
      <c r="O859" t="s">
        <v>382</v>
      </c>
      <c r="P859" t="s">
        <v>26</v>
      </c>
    </row>
    <row r="860" spans="1:16" x14ac:dyDescent="0.2">
      <c r="A860" t="s">
        <v>50</v>
      </c>
      <c r="B860" t="s">
        <v>379</v>
      </c>
      <c r="C860" t="s">
        <v>879</v>
      </c>
      <c r="D860">
        <v>53700009169</v>
      </c>
      <c r="E860" t="s">
        <v>203</v>
      </c>
      <c r="F860" t="s">
        <v>1668</v>
      </c>
      <c r="G860" t="s">
        <v>1669</v>
      </c>
      <c r="H860" s="1">
        <v>3028.8</v>
      </c>
      <c r="I860" t="s">
        <v>545</v>
      </c>
      <c r="J860" t="s">
        <v>674</v>
      </c>
      <c r="L860" t="s">
        <v>1524</v>
      </c>
      <c r="M860" s="1"/>
      <c r="N860" s="1"/>
      <c r="O860" t="s">
        <v>382</v>
      </c>
      <c r="P860" t="s">
        <v>26</v>
      </c>
    </row>
    <row r="861" spans="1:16" x14ac:dyDescent="0.2">
      <c r="A861" t="s">
        <v>50</v>
      </c>
      <c r="B861" t="s">
        <v>379</v>
      </c>
      <c r="C861" t="s">
        <v>879</v>
      </c>
      <c r="D861">
        <v>53700009169</v>
      </c>
      <c r="E861" t="s">
        <v>203</v>
      </c>
      <c r="F861" t="s">
        <v>1670</v>
      </c>
      <c r="G861" t="s">
        <v>1671</v>
      </c>
      <c r="H861" s="1">
        <v>2656.8</v>
      </c>
      <c r="I861" t="s">
        <v>545</v>
      </c>
      <c r="J861" t="s">
        <v>674</v>
      </c>
      <c r="L861" t="s">
        <v>1524</v>
      </c>
      <c r="M861" s="1"/>
      <c r="N861" s="1"/>
      <c r="O861" t="s">
        <v>382</v>
      </c>
      <c r="P861" t="s">
        <v>26</v>
      </c>
    </row>
    <row r="862" spans="1:16" x14ac:dyDescent="0.2">
      <c r="A862" t="s">
        <v>50</v>
      </c>
      <c r="B862" t="s">
        <v>379</v>
      </c>
      <c r="C862" t="s">
        <v>879</v>
      </c>
      <c r="D862">
        <v>53700009169</v>
      </c>
      <c r="E862" t="s">
        <v>203</v>
      </c>
      <c r="F862" t="s">
        <v>1672</v>
      </c>
      <c r="G862" t="s">
        <v>1673</v>
      </c>
      <c r="H862" s="1">
        <v>2640</v>
      </c>
      <c r="I862" t="s">
        <v>545</v>
      </c>
      <c r="J862" t="s">
        <v>674</v>
      </c>
      <c r="L862" t="s">
        <v>1524</v>
      </c>
      <c r="M862" s="1"/>
      <c r="N862" s="1"/>
      <c r="O862" t="s">
        <v>382</v>
      </c>
      <c r="P862" t="s">
        <v>26</v>
      </c>
    </row>
    <row r="863" spans="1:16" x14ac:dyDescent="0.2">
      <c r="A863" t="s">
        <v>50</v>
      </c>
      <c r="B863" t="s">
        <v>379</v>
      </c>
      <c r="C863" t="s">
        <v>879</v>
      </c>
      <c r="D863">
        <v>53700009169</v>
      </c>
      <c r="E863" t="s">
        <v>203</v>
      </c>
      <c r="F863" t="s">
        <v>1674</v>
      </c>
      <c r="G863" t="s">
        <v>1675</v>
      </c>
      <c r="H863" s="1">
        <v>2087.5</v>
      </c>
      <c r="I863" t="s">
        <v>545</v>
      </c>
      <c r="J863" t="s">
        <v>674</v>
      </c>
      <c r="L863" t="s">
        <v>1524</v>
      </c>
      <c r="M863" s="1"/>
      <c r="N863" s="1"/>
      <c r="O863" t="s">
        <v>382</v>
      </c>
      <c r="P863" t="s">
        <v>26</v>
      </c>
    </row>
    <row r="864" spans="1:16" x14ac:dyDescent="0.2">
      <c r="A864" t="s">
        <v>50</v>
      </c>
      <c r="B864" t="s">
        <v>379</v>
      </c>
      <c r="C864" t="s">
        <v>879</v>
      </c>
      <c r="D864">
        <v>53700009169</v>
      </c>
      <c r="E864" t="s">
        <v>203</v>
      </c>
      <c r="F864" t="s">
        <v>1676</v>
      </c>
      <c r="G864" t="s">
        <v>1677</v>
      </c>
      <c r="H864" s="1">
        <v>1433.92</v>
      </c>
      <c r="I864" t="s">
        <v>545</v>
      </c>
      <c r="J864" t="s">
        <v>674</v>
      </c>
      <c r="L864" t="s">
        <v>1524</v>
      </c>
      <c r="M864" s="1"/>
      <c r="N864" s="1"/>
      <c r="O864" t="s">
        <v>382</v>
      </c>
      <c r="P864" t="s">
        <v>26</v>
      </c>
    </row>
    <row r="865" spans="1:16" x14ac:dyDescent="0.2">
      <c r="A865" t="s">
        <v>50</v>
      </c>
      <c r="B865" t="s">
        <v>379</v>
      </c>
      <c r="C865" t="s">
        <v>879</v>
      </c>
      <c r="D865">
        <v>53700009169</v>
      </c>
      <c r="E865" t="s">
        <v>203</v>
      </c>
      <c r="F865" t="s">
        <v>1678</v>
      </c>
      <c r="G865" t="s">
        <v>1679</v>
      </c>
      <c r="H865" s="1">
        <v>2899.4</v>
      </c>
      <c r="I865" t="s">
        <v>545</v>
      </c>
      <c r="J865" t="s">
        <v>674</v>
      </c>
      <c r="L865" t="s">
        <v>1524</v>
      </c>
      <c r="M865" s="1"/>
      <c r="N865" s="1"/>
      <c r="O865" t="s">
        <v>382</v>
      </c>
      <c r="P865" t="s">
        <v>26</v>
      </c>
    </row>
    <row r="866" spans="1:16" x14ac:dyDescent="0.2">
      <c r="A866" t="s">
        <v>50</v>
      </c>
      <c r="B866" t="s">
        <v>379</v>
      </c>
      <c r="C866" t="s">
        <v>879</v>
      </c>
      <c r="D866">
        <v>53700009169</v>
      </c>
      <c r="E866" t="s">
        <v>203</v>
      </c>
      <c r="F866" t="s">
        <v>1680</v>
      </c>
      <c r="G866" t="s">
        <v>1681</v>
      </c>
      <c r="H866" s="1">
        <v>2308.6</v>
      </c>
      <c r="I866" t="s">
        <v>545</v>
      </c>
      <c r="J866" t="s">
        <v>674</v>
      </c>
      <c r="L866" t="s">
        <v>1524</v>
      </c>
      <c r="M866" s="1"/>
      <c r="N866" s="1"/>
      <c r="O866" t="s">
        <v>382</v>
      </c>
      <c r="P866" t="s">
        <v>26</v>
      </c>
    </row>
    <row r="867" spans="1:16" x14ac:dyDescent="0.2">
      <c r="A867" t="s">
        <v>50</v>
      </c>
      <c r="B867" t="s">
        <v>379</v>
      </c>
      <c r="C867" t="s">
        <v>879</v>
      </c>
      <c r="D867">
        <v>53700009169</v>
      </c>
      <c r="E867" t="s">
        <v>203</v>
      </c>
      <c r="F867" t="s">
        <v>1682</v>
      </c>
      <c r="G867" t="s">
        <v>1683</v>
      </c>
      <c r="H867" s="1">
        <v>3366</v>
      </c>
      <c r="I867" t="s">
        <v>545</v>
      </c>
      <c r="J867" t="s">
        <v>674</v>
      </c>
      <c r="L867" t="s">
        <v>1524</v>
      </c>
      <c r="M867" s="1"/>
      <c r="N867" s="1"/>
      <c r="O867" t="s">
        <v>382</v>
      </c>
      <c r="P867" t="s">
        <v>26</v>
      </c>
    </row>
    <row r="868" spans="1:16" x14ac:dyDescent="0.2">
      <c r="A868" t="s">
        <v>50</v>
      </c>
      <c r="B868" t="s">
        <v>379</v>
      </c>
      <c r="C868" t="s">
        <v>388</v>
      </c>
      <c r="D868">
        <v>53700014254</v>
      </c>
      <c r="E868" t="s">
        <v>31</v>
      </c>
      <c r="F868" t="s">
        <v>403</v>
      </c>
      <c r="G868" t="s">
        <v>404</v>
      </c>
      <c r="H868" s="1">
        <v>85950.7</v>
      </c>
      <c r="I868" t="s">
        <v>389</v>
      </c>
      <c r="J868" t="s">
        <v>56</v>
      </c>
      <c r="L868" t="s">
        <v>40</v>
      </c>
      <c r="M868" s="1"/>
      <c r="N868" s="1"/>
      <c r="O868" t="s">
        <v>382</v>
      </c>
      <c r="P868" t="s">
        <v>26</v>
      </c>
    </row>
    <row r="869" spans="1:16" x14ac:dyDescent="0.2">
      <c r="A869" t="s">
        <v>110</v>
      </c>
      <c r="B869" t="s">
        <v>111</v>
      </c>
      <c r="C869" t="s">
        <v>400</v>
      </c>
      <c r="D869">
        <v>386779</v>
      </c>
      <c r="E869" t="s">
        <v>38</v>
      </c>
      <c r="F869" t="s">
        <v>241</v>
      </c>
      <c r="G869" t="s">
        <v>242</v>
      </c>
      <c r="H869" s="1">
        <v>9863.7000000000007</v>
      </c>
      <c r="I869" t="s">
        <v>1144</v>
      </c>
      <c r="J869" t="s">
        <v>148</v>
      </c>
      <c r="L869" t="s">
        <v>110</v>
      </c>
      <c r="M869" s="1"/>
      <c r="N869" s="1"/>
      <c r="O869" t="s">
        <v>113</v>
      </c>
      <c r="P869" t="s">
        <v>26</v>
      </c>
    </row>
    <row r="870" spans="1:16" x14ac:dyDescent="0.2">
      <c r="A870" t="s">
        <v>110</v>
      </c>
      <c r="B870" t="s">
        <v>111</v>
      </c>
      <c r="C870" t="s">
        <v>188</v>
      </c>
      <c r="D870">
        <v>395453</v>
      </c>
      <c r="E870" t="s">
        <v>19</v>
      </c>
      <c r="F870" t="s">
        <v>241</v>
      </c>
      <c r="G870" t="s">
        <v>242</v>
      </c>
      <c r="H870" s="1">
        <v>295542</v>
      </c>
      <c r="I870" t="s">
        <v>1131</v>
      </c>
      <c r="J870" t="s">
        <v>148</v>
      </c>
      <c r="L870" t="s">
        <v>110</v>
      </c>
      <c r="M870" s="1"/>
      <c r="N870" s="1"/>
      <c r="O870" t="s">
        <v>113</v>
      </c>
      <c r="P870" t="s">
        <v>26</v>
      </c>
    </row>
    <row r="871" spans="1:16" x14ac:dyDescent="0.2">
      <c r="A871" t="s">
        <v>110</v>
      </c>
      <c r="B871" t="s">
        <v>111</v>
      </c>
      <c r="C871" t="s">
        <v>1030</v>
      </c>
      <c r="D871">
        <v>401784</v>
      </c>
      <c r="E871" t="s">
        <v>203</v>
      </c>
      <c r="F871" t="s">
        <v>241</v>
      </c>
      <c r="G871" t="s">
        <v>242</v>
      </c>
      <c r="H871" s="1">
        <v>92539.4</v>
      </c>
      <c r="I871" t="s">
        <v>1155</v>
      </c>
      <c r="J871" t="s">
        <v>148</v>
      </c>
      <c r="L871" t="s">
        <v>110</v>
      </c>
      <c r="M871" s="1"/>
      <c r="N871" s="1"/>
      <c r="O871" t="s">
        <v>113</v>
      </c>
      <c r="P871" t="s">
        <v>26</v>
      </c>
    </row>
    <row r="872" spans="1:16" x14ac:dyDescent="0.2">
      <c r="A872" t="s">
        <v>110</v>
      </c>
      <c r="B872" t="s">
        <v>111</v>
      </c>
      <c r="C872" t="s">
        <v>293</v>
      </c>
      <c r="D872">
        <v>410800</v>
      </c>
      <c r="E872" t="s">
        <v>31</v>
      </c>
      <c r="F872" t="s">
        <v>241</v>
      </c>
      <c r="G872" t="s">
        <v>242</v>
      </c>
      <c r="H872" s="1">
        <v>18292.7</v>
      </c>
      <c r="I872" t="s">
        <v>198</v>
      </c>
      <c r="J872" t="s">
        <v>148</v>
      </c>
      <c r="L872" t="s">
        <v>110</v>
      </c>
      <c r="M872" s="1"/>
      <c r="N872" s="1"/>
      <c r="O872" t="s">
        <v>113</v>
      </c>
      <c r="P872" t="s">
        <v>26</v>
      </c>
    </row>
    <row r="873" spans="1:16" x14ac:dyDescent="0.2">
      <c r="A873" t="s">
        <v>110</v>
      </c>
      <c r="B873" t="s">
        <v>1136</v>
      </c>
      <c r="C873" t="s">
        <v>580</v>
      </c>
      <c r="D873">
        <v>406943</v>
      </c>
      <c r="E873" t="s">
        <v>256</v>
      </c>
      <c r="F873" t="s">
        <v>1137</v>
      </c>
      <c r="G873" t="s">
        <v>1138</v>
      </c>
      <c r="H873" s="1">
        <v>26440.7</v>
      </c>
      <c r="I873" t="s">
        <v>1139</v>
      </c>
      <c r="J873" t="s">
        <v>148</v>
      </c>
      <c r="L873" t="s">
        <v>110</v>
      </c>
      <c r="M873" s="1"/>
      <c r="N873" s="1"/>
      <c r="O873" t="s">
        <v>261</v>
      </c>
      <c r="P873" t="s">
        <v>26</v>
      </c>
    </row>
    <row r="874" spans="1:16" x14ac:dyDescent="0.2">
      <c r="A874" t="s">
        <v>110</v>
      </c>
      <c r="B874" t="s">
        <v>1136</v>
      </c>
      <c r="C874" t="s">
        <v>1116</v>
      </c>
      <c r="D874">
        <v>385955</v>
      </c>
      <c r="E874" t="s">
        <v>38</v>
      </c>
      <c r="F874" t="s">
        <v>1137</v>
      </c>
      <c r="G874" t="s">
        <v>1138</v>
      </c>
      <c r="H874" s="1">
        <v>6993.84</v>
      </c>
      <c r="I874" t="s">
        <v>1117</v>
      </c>
      <c r="J874" t="s">
        <v>148</v>
      </c>
      <c r="L874" t="s">
        <v>110</v>
      </c>
      <c r="M874" s="1"/>
      <c r="N874" s="1"/>
      <c r="O874" t="s">
        <v>113</v>
      </c>
      <c r="P874" t="s">
        <v>26</v>
      </c>
    </row>
    <row r="875" spans="1:16" x14ac:dyDescent="0.2">
      <c r="A875" t="s">
        <v>110</v>
      </c>
      <c r="B875" t="s">
        <v>1136</v>
      </c>
      <c r="C875" t="s">
        <v>240</v>
      </c>
      <c r="D875">
        <v>400667</v>
      </c>
      <c r="E875" t="s">
        <v>38</v>
      </c>
      <c r="F875" t="s">
        <v>1137</v>
      </c>
      <c r="G875" t="s">
        <v>1138</v>
      </c>
      <c r="H875" s="1">
        <v>91794.1</v>
      </c>
      <c r="I875" t="s">
        <v>243</v>
      </c>
      <c r="J875" t="s">
        <v>148</v>
      </c>
      <c r="L875" t="s">
        <v>110</v>
      </c>
      <c r="M875" s="1"/>
      <c r="N875" s="1"/>
      <c r="O875" t="s">
        <v>113</v>
      </c>
      <c r="P875" t="s">
        <v>26</v>
      </c>
    </row>
    <row r="876" spans="1:16" x14ac:dyDescent="0.2">
      <c r="A876" t="s">
        <v>114</v>
      </c>
      <c r="B876" t="s">
        <v>182</v>
      </c>
      <c r="C876" t="s">
        <v>1396</v>
      </c>
      <c r="D876" t="s">
        <v>1397</v>
      </c>
      <c r="E876" t="s">
        <v>96</v>
      </c>
      <c r="F876" t="s">
        <v>1684</v>
      </c>
      <c r="G876" t="s">
        <v>1685</v>
      </c>
      <c r="H876" s="1">
        <v>20223</v>
      </c>
      <c r="I876" t="s">
        <v>654</v>
      </c>
      <c r="J876" t="s">
        <v>120</v>
      </c>
      <c r="L876" t="s">
        <v>114</v>
      </c>
      <c r="M876" s="1"/>
      <c r="N876" s="1"/>
      <c r="O876" t="s">
        <v>120</v>
      </c>
      <c r="P876" t="s">
        <v>26</v>
      </c>
    </row>
    <row r="877" spans="1:16" x14ac:dyDescent="0.2">
      <c r="A877" t="s">
        <v>114</v>
      </c>
      <c r="B877" t="s">
        <v>182</v>
      </c>
      <c r="C877" t="s">
        <v>1396</v>
      </c>
      <c r="D877" t="s">
        <v>1397</v>
      </c>
      <c r="E877" t="s">
        <v>96</v>
      </c>
      <c r="F877" t="s">
        <v>1686</v>
      </c>
      <c r="G877" t="s">
        <v>1687</v>
      </c>
      <c r="H877" s="1">
        <v>28244.2</v>
      </c>
      <c r="I877" t="s">
        <v>654</v>
      </c>
      <c r="J877" t="s">
        <v>120</v>
      </c>
      <c r="L877" t="s">
        <v>114</v>
      </c>
      <c r="M877" s="1"/>
      <c r="N877" s="1"/>
      <c r="O877" t="s">
        <v>120</v>
      </c>
      <c r="P877" t="s">
        <v>26</v>
      </c>
    </row>
    <row r="878" spans="1:16" x14ac:dyDescent="0.2">
      <c r="A878" t="s">
        <v>114</v>
      </c>
      <c r="B878" t="s">
        <v>182</v>
      </c>
      <c r="C878" t="s">
        <v>183</v>
      </c>
      <c r="D878" t="s">
        <v>184</v>
      </c>
      <c r="E878" t="s">
        <v>19</v>
      </c>
      <c r="F878" t="s">
        <v>1688</v>
      </c>
      <c r="G878" t="s">
        <v>1689</v>
      </c>
      <c r="H878" s="1">
        <v>20000</v>
      </c>
      <c r="I878" t="s">
        <v>187</v>
      </c>
      <c r="J878" t="s">
        <v>120</v>
      </c>
      <c r="L878" t="s">
        <v>114</v>
      </c>
      <c r="M878" s="1"/>
      <c r="N878" s="1"/>
      <c r="O878" t="s">
        <v>120</v>
      </c>
      <c r="P878" t="s">
        <v>26</v>
      </c>
    </row>
    <row r="879" spans="1:16" x14ac:dyDescent="0.2">
      <c r="A879" t="s">
        <v>114</v>
      </c>
      <c r="B879" t="s">
        <v>182</v>
      </c>
      <c r="C879" t="s">
        <v>183</v>
      </c>
      <c r="D879" t="s">
        <v>184</v>
      </c>
      <c r="E879" t="s">
        <v>19</v>
      </c>
      <c r="F879" t="s">
        <v>1690</v>
      </c>
      <c r="G879" t="s">
        <v>1691</v>
      </c>
      <c r="H879" s="1">
        <v>20000</v>
      </c>
      <c r="I879" t="s">
        <v>187</v>
      </c>
      <c r="J879" t="s">
        <v>120</v>
      </c>
      <c r="L879" t="s">
        <v>114</v>
      </c>
      <c r="M879" s="1"/>
      <c r="N879" s="1"/>
      <c r="O879" t="s">
        <v>120</v>
      </c>
      <c r="P879" t="s">
        <v>26</v>
      </c>
    </row>
    <row r="880" spans="1:16" x14ac:dyDescent="0.2">
      <c r="A880" t="s">
        <v>114</v>
      </c>
      <c r="B880" t="s">
        <v>182</v>
      </c>
      <c r="C880" t="s">
        <v>183</v>
      </c>
      <c r="D880" t="s">
        <v>184</v>
      </c>
      <c r="E880" t="s">
        <v>19</v>
      </c>
      <c r="F880" t="s">
        <v>1692</v>
      </c>
      <c r="G880" t="s">
        <v>1693</v>
      </c>
      <c r="H880" s="1">
        <v>20000</v>
      </c>
      <c r="I880" t="s">
        <v>187</v>
      </c>
      <c r="J880" t="s">
        <v>120</v>
      </c>
      <c r="L880" t="s">
        <v>114</v>
      </c>
      <c r="M880" s="1"/>
      <c r="N880" s="1"/>
      <c r="O880" t="s">
        <v>120</v>
      </c>
      <c r="P880" t="s">
        <v>26</v>
      </c>
    </row>
    <row r="881" spans="1:16" x14ac:dyDescent="0.2">
      <c r="A881" t="s">
        <v>114</v>
      </c>
      <c r="B881" t="s">
        <v>182</v>
      </c>
      <c r="C881" t="s">
        <v>183</v>
      </c>
      <c r="D881" t="s">
        <v>184</v>
      </c>
      <c r="E881" t="s">
        <v>19</v>
      </c>
      <c r="F881" t="s">
        <v>1694</v>
      </c>
      <c r="G881" t="s">
        <v>1695</v>
      </c>
      <c r="H881" s="1">
        <v>20000</v>
      </c>
      <c r="I881" t="s">
        <v>187</v>
      </c>
      <c r="J881" t="s">
        <v>120</v>
      </c>
      <c r="L881" t="s">
        <v>114</v>
      </c>
      <c r="M881" s="1"/>
      <c r="N881" s="1"/>
      <c r="O881" t="s">
        <v>120</v>
      </c>
      <c r="P881" t="s">
        <v>26</v>
      </c>
    </row>
    <row r="882" spans="1:16" x14ac:dyDescent="0.2">
      <c r="A882" t="s">
        <v>114</v>
      </c>
      <c r="B882" t="s">
        <v>182</v>
      </c>
      <c r="C882" t="s">
        <v>183</v>
      </c>
      <c r="D882" t="s">
        <v>184</v>
      </c>
      <c r="E882" t="s">
        <v>19</v>
      </c>
      <c r="F882" t="s">
        <v>1686</v>
      </c>
      <c r="G882" t="s">
        <v>1687</v>
      </c>
      <c r="H882" s="1">
        <v>20000</v>
      </c>
      <c r="I882" t="s">
        <v>187</v>
      </c>
      <c r="J882" t="s">
        <v>120</v>
      </c>
      <c r="L882" t="s">
        <v>114</v>
      </c>
      <c r="M882" s="1"/>
      <c r="N882" s="1"/>
      <c r="O882" t="s">
        <v>120</v>
      </c>
      <c r="P882" t="s">
        <v>26</v>
      </c>
    </row>
    <row r="883" spans="1:16" x14ac:dyDescent="0.2">
      <c r="A883" t="s">
        <v>114</v>
      </c>
      <c r="B883" t="s">
        <v>182</v>
      </c>
      <c r="C883" t="s">
        <v>183</v>
      </c>
      <c r="D883" t="s">
        <v>184</v>
      </c>
      <c r="E883" t="s">
        <v>19</v>
      </c>
      <c r="F883" t="s">
        <v>1696</v>
      </c>
      <c r="G883" t="s">
        <v>1697</v>
      </c>
      <c r="H883" s="1">
        <v>20003</v>
      </c>
      <c r="I883" t="s">
        <v>187</v>
      </c>
      <c r="J883" t="s">
        <v>120</v>
      </c>
      <c r="L883" t="s">
        <v>114</v>
      </c>
      <c r="M883" s="1"/>
      <c r="N883" s="1"/>
      <c r="O883" t="s">
        <v>120</v>
      </c>
      <c r="P883" t="s">
        <v>26</v>
      </c>
    </row>
    <row r="884" spans="1:16" x14ac:dyDescent="0.2">
      <c r="A884" t="s">
        <v>114</v>
      </c>
      <c r="B884" t="s">
        <v>115</v>
      </c>
      <c r="C884" t="s">
        <v>65</v>
      </c>
      <c r="D884" t="s">
        <v>116</v>
      </c>
      <c r="E884" t="s">
        <v>67</v>
      </c>
      <c r="F884" t="s">
        <v>290</v>
      </c>
      <c r="G884" t="s">
        <v>291</v>
      </c>
      <c r="H884" s="1">
        <v>134915</v>
      </c>
      <c r="I884" t="s">
        <v>119</v>
      </c>
      <c r="J884" t="s">
        <v>120</v>
      </c>
      <c r="L884" t="s">
        <v>114</v>
      </c>
      <c r="M884" s="1"/>
      <c r="N884" s="1"/>
      <c r="O884" t="s">
        <v>121</v>
      </c>
      <c r="P884" t="s">
        <v>26</v>
      </c>
    </row>
    <row r="885" spans="1:16" x14ac:dyDescent="0.2">
      <c r="A885" t="s">
        <v>114</v>
      </c>
      <c r="B885" t="s">
        <v>115</v>
      </c>
      <c r="C885" t="s">
        <v>65</v>
      </c>
      <c r="D885" t="s">
        <v>116</v>
      </c>
      <c r="E885" t="s">
        <v>67</v>
      </c>
      <c r="F885" t="s">
        <v>304</v>
      </c>
      <c r="G885" t="s">
        <v>305</v>
      </c>
      <c r="H885" s="1">
        <v>71818.3</v>
      </c>
      <c r="I885" t="s">
        <v>119</v>
      </c>
      <c r="J885" t="s">
        <v>120</v>
      </c>
      <c r="L885" t="s">
        <v>114</v>
      </c>
      <c r="M885" s="1"/>
      <c r="N885" s="1"/>
      <c r="O885" t="s">
        <v>121</v>
      </c>
      <c r="P885" t="s">
        <v>26</v>
      </c>
    </row>
    <row r="886" spans="1:16" x14ac:dyDescent="0.2">
      <c r="A886" t="s">
        <v>114</v>
      </c>
      <c r="B886" t="s">
        <v>115</v>
      </c>
      <c r="C886" t="s">
        <v>65</v>
      </c>
      <c r="D886" t="s">
        <v>116</v>
      </c>
      <c r="E886" t="s">
        <v>67</v>
      </c>
      <c r="F886" t="s">
        <v>1436</v>
      </c>
      <c r="G886" t="s">
        <v>1437</v>
      </c>
      <c r="H886" s="1">
        <v>64486.9</v>
      </c>
      <c r="I886" t="s">
        <v>119</v>
      </c>
      <c r="J886" t="s">
        <v>120</v>
      </c>
      <c r="L886" t="s">
        <v>114</v>
      </c>
      <c r="M886" s="1"/>
      <c r="N886" s="1"/>
      <c r="O886" t="s">
        <v>121</v>
      </c>
      <c r="P886" t="s">
        <v>26</v>
      </c>
    </row>
    <row r="887" spans="1:16" x14ac:dyDescent="0.2">
      <c r="A887" t="s">
        <v>114</v>
      </c>
      <c r="B887" t="s">
        <v>115</v>
      </c>
      <c r="C887" t="s">
        <v>65</v>
      </c>
      <c r="D887" t="s">
        <v>116</v>
      </c>
      <c r="E887" t="s">
        <v>67</v>
      </c>
      <c r="F887" t="s">
        <v>1698</v>
      </c>
      <c r="G887" t="s">
        <v>1699</v>
      </c>
      <c r="H887" s="1">
        <v>101090</v>
      </c>
      <c r="I887" t="s">
        <v>119</v>
      </c>
      <c r="J887" t="s">
        <v>120</v>
      </c>
      <c r="L887" t="s">
        <v>114</v>
      </c>
      <c r="M887" s="1"/>
      <c r="N887" s="1"/>
      <c r="O887" t="s">
        <v>121</v>
      </c>
      <c r="P887" t="s">
        <v>26</v>
      </c>
    </row>
    <row r="888" spans="1:16" x14ac:dyDescent="0.2">
      <c r="A888" t="s">
        <v>114</v>
      </c>
      <c r="B888" t="s">
        <v>115</v>
      </c>
      <c r="C888" t="s">
        <v>65</v>
      </c>
      <c r="D888" t="s">
        <v>116</v>
      </c>
      <c r="E888" t="s">
        <v>67</v>
      </c>
      <c r="F888" t="s">
        <v>347</v>
      </c>
      <c r="G888" t="s">
        <v>348</v>
      </c>
      <c r="H888" s="1">
        <v>60960</v>
      </c>
      <c r="I888" t="s">
        <v>119</v>
      </c>
      <c r="J888" t="s">
        <v>120</v>
      </c>
      <c r="L888" t="s">
        <v>114</v>
      </c>
      <c r="M888" s="1"/>
      <c r="N888" s="1"/>
      <c r="O888" t="s">
        <v>121</v>
      </c>
      <c r="P888" t="s">
        <v>26</v>
      </c>
    </row>
    <row r="889" spans="1:16" x14ac:dyDescent="0.2">
      <c r="A889" t="s">
        <v>114</v>
      </c>
      <c r="B889" t="s">
        <v>115</v>
      </c>
      <c r="C889" t="s">
        <v>267</v>
      </c>
      <c r="D889" t="s">
        <v>1433</v>
      </c>
      <c r="E889" t="s">
        <v>67</v>
      </c>
      <c r="F889" t="s">
        <v>1440</v>
      </c>
      <c r="G889" t="s">
        <v>1441</v>
      </c>
      <c r="H889" s="1">
        <v>12310.9</v>
      </c>
      <c r="I889" t="s">
        <v>1153</v>
      </c>
      <c r="J889" t="s">
        <v>120</v>
      </c>
      <c r="L889" t="s">
        <v>114</v>
      </c>
      <c r="M889" s="1"/>
      <c r="N889" s="1"/>
      <c r="O889" t="s">
        <v>121</v>
      </c>
      <c r="P889" t="s">
        <v>26</v>
      </c>
    </row>
    <row r="890" spans="1:16" x14ac:dyDescent="0.2">
      <c r="A890" t="s">
        <v>114</v>
      </c>
      <c r="B890" t="s">
        <v>115</v>
      </c>
      <c r="C890" t="s">
        <v>309</v>
      </c>
      <c r="D890" t="s">
        <v>310</v>
      </c>
      <c r="E890" t="s">
        <v>311</v>
      </c>
      <c r="F890" t="s">
        <v>347</v>
      </c>
      <c r="G890" t="s">
        <v>348</v>
      </c>
      <c r="H890" s="1">
        <v>15000</v>
      </c>
      <c r="I890" t="s">
        <v>314</v>
      </c>
      <c r="J890" t="s">
        <v>120</v>
      </c>
      <c r="L890" t="s">
        <v>114</v>
      </c>
      <c r="M890" s="1"/>
      <c r="N890" s="1"/>
      <c r="O890" t="s">
        <v>121</v>
      </c>
      <c r="P890" t="s">
        <v>26</v>
      </c>
    </row>
    <row r="891" spans="1:16" x14ac:dyDescent="0.2">
      <c r="A891" t="s">
        <v>114</v>
      </c>
      <c r="B891" t="s">
        <v>115</v>
      </c>
      <c r="C891" t="s">
        <v>349</v>
      </c>
      <c r="D891" t="s">
        <v>1435</v>
      </c>
      <c r="E891" t="s">
        <v>311</v>
      </c>
      <c r="F891" t="s">
        <v>1480</v>
      </c>
      <c r="G891" t="s">
        <v>1481</v>
      </c>
      <c r="H891" s="1">
        <v>30327</v>
      </c>
      <c r="I891" t="s">
        <v>631</v>
      </c>
      <c r="J891" t="s">
        <v>120</v>
      </c>
      <c r="L891" t="s">
        <v>114</v>
      </c>
      <c r="M891" s="1"/>
      <c r="N891" s="1"/>
      <c r="O891" t="s">
        <v>121</v>
      </c>
      <c r="P891" t="s">
        <v>26</v>
      </c>
    </row>
    <row r="892" spans="1:16" x14ac:dyDescent="0.2">
      <c r="A892" t="s">
        <v>114</v>
      </c>
      <c r="B892" t="s">
        <v>115</v>
      </c>
      <c r="C892" t="s">
        <v>349</v>
      </c>
      <c r="D892" t="s">
        <v>1435</v>
      </c>
      <c r="E892" t="s">
        <v>311</v>
      </c>
      <c r="F892" t="s">
        <v>312</v>
      </c>
      <c r="G892" t="s">
        <v>313</v>
      </c>
      <c r="H892" s="1">
        <v>13909.5</v>
      </c>
      <c r="I892" t="s">
        <v>631</v>
      </c>
      <c r="J892" t="s">
        <v>120</v>
      </c>
      <c r="L892" t="s">
        <v>114</v>
      </c>
      <c r="M892" s="1"/>
      <c r="N892" s="1"/>
      <c r="O892" t="s">
        <v>121</v>
      </c>
      <c r="P892" t="s">
        <v>26</v>
      </c>
    </row>
    <row r="893" spans="1:16" x14ac:dyDescent="0.2">
      <c r="A893" t="s">
        <v>114</v>
      </c>
      <c r="B893" t="s">
        <v>115</v>
      </c>
      <c r="C893" t="s">
        <v>71</v>
      </c>
      <c r="D893" t="s">
        <v>1438</v>
      </c>
      <c r="E893" t="s">
        <v>71</v>
      </c>
      <c r="F893" t="s">
        <v>117</v>
      </c>
      <c r="G893" t="s">
        <v>118</v>
      </c>
      <c r="H893" s="1">
        <v>14598</v>
      </c>
      <c r="I893" t="s">
        <v>1427</v>
      </c>
      <c r="J893" t="s">
        <v>120</v>
      </c>
      <c r="L893" t="s">
        <v>114</v>
      </c>
      <c r="M893" s="1"/>
      <c r="N893" s="1"/>
      <c r="O893" t="s">
        <v>121</v>
      </c>
      <c r="P893" t="s">
        <v>26</v>
      </c>
    </row>
    <row r="894" spans="1:16" x14ac:dyDescent="0.2">
      <c r="A894" t="s">
        <v>114</v>
      </c>
      <c r="B894" t="s">
        <v>115</v>
      </c>
      <c r="C894" t="s">
        <v>275</v>
      </c>
      <c r="D894" t="s">
        <v>276</v>
      </c>
      <c r="E894" t="s">
        <v>71</v>
      </c>
      <c r="F894" t="s">
        <v>1440</v>
      </c>
      <c r="G894" t="s">
        <v>1441</v>
      </c>
      <c r="H894" s="1">
        <v>18288</v>
      </c>
      <c r="I894" t="s">
        <v>277</v>
      </c>
      <c r="J894" t="s">
        <v>120</v>
      </c>
      <c r="L894" t="s">
        <v>114</v>
      </c>
      <c r="M894" s="1"/>
      <c r="N894" s="1"/>
      <c r="O894" t="s">
        <v>121</v>
      </c>
      <c r="P894" t="s">
        <v>26</v>
      </c>
    </row>
    <row r="895" spans="1:16" x14ac:dyDescent="0.2">
      <c r="A895" t="s">
        <v>114</v>
      </c>
      <c r="B895" t="s">
        <v>115</v>
      </c>
      <c r="C895" t="s">
        <v>275</v>
      </c>
      <c r="D895" t="s">
        <v>276</v>
      </c>
      <c r="E895" t="s">
        <v>71</v>
      </c>
      <c r="F895" t="s">
        <v>304</v>
      </c>
      <c r="G895" t="s">
        <v>305</v>
      </c>
      <c r="H895" s="1">
        <v>21691.3</v>
      </c>
      <c r="I895" t="s">
        <v>277</v>
      </c>
      <c r="J895" t="s">
        <v>120</v>
      </c>
      <c r="L895" t="s">
        <v>114</v>
      </c>
      <c r="M895" s="1"/>
      <c r="N895" s="1"/>
      <c r="O895" t="s">
        <v>121</v>
      </c>
      <c r="P895" t="s">
        <v>26</v>
      </c>
    </row>
    <row r="896" spans="1:16" x14ac:dyDescent="0.2">
      <c r="A896" t="s">
        <v>114</v>
      </c>
      <c r="B896" t="s">
        <v>115</v>
      </c>
      <c r="C896" t="s">
        <v>1428</v>
      </c>
      <c r="D896" t="s">
        <v>1453</v>
      </c>
      <c r="E896" t="s">
        <v>96</v>
      </c>
      <c r="F896" t="s">
        <v>290</v>
      </c>
      <c r="G896" t="s">
        <v>291</v>
      </c>
      <c r="H896" s="1">
        <v>40474.5</v>
      </c>
      <c r="I896" t="s">
        <v>1454</v>
      </c>
      <c r="J896" t="s">
        <v>120</v>
      </c>
      <c r="L896" t="s">
        <v>114</v>
      </c>
      <c r="M896" s="1"/>
      <c r="N896" s="1"/>
      <c r="O896" t="s">
        <v>121</v>
      </c>
      <c r="P896" t="s">
        <v>26</v>
      </c>
    </row>
    <row r="897" spans="1:16" x14ac:dyDescent="0.2">
      <c r="A897" t="s">
        <v>114</v>
      </c>
      <c r="B897" t="s">
        <v>115</v>
      </c>
      <c r="C897" t="s">
        <v>653</v>
      </c>
      <c r="D897" t="s">
        <v>1455</v>
      </c>
      <c r="E897" t="s">
        <v>96</v>
      </c>
      <c r="F897" t="s">
        <v>312</v>
      </c>
      <c r="G897" t="s">
        <v>313</v>
      </c>
      <c r="H897" s="1">
        <v>13909.5</v>
      </c>
      <c r="I897" t="s">
        <v>654</v>
      </c>
      <c r="J897" t="s">
        <v>120</v>
      </c>
      <c r="L897" t="s">
        <v>114</v>
      </c>
      <c r="M897" s="1"/>
      <c r="N897" s="1"/>
      <c r="O897" t="s">
        <v>121</v>
      </c>
      <c r="P897" t="s">
        <v>26</v>
      </c>
    </row>
    <row r="898" spans="1:16" x14ac:dyDescent="0.2">
      <c r="A898" t="s">
        <v>114</v>
      </c>
      <c r="B898" t="s">
        <v>115</v>
      </c>
      <c r="C898" t="s">
        <v>180</v>
      </c>
      <c r="D898" t="s">
        <v>224</v>
      </c>
      <c r="E898" t="s">
        <v>96</v>
      </c>
      <c r="F898" t="s">
        <v>290</v>
      </c>
      <c r="G898" t="s">
        <v>291</v>
      </c>
      <c r="H898" s="1">
        <v>30000</v>
      </c>
      <c r="I898" t="s">
        <v>225</v>
      </c>
      <c r="J898" t="s">
        <v>120</v>
      </c>
      <c r="L898" t="s">
        <v>114</v>
      </c>
      <c r="M898" s="1"/>
      <c r="N898" s="1"/>
      <c r="O898" t="s">
        <v>121</v>
      </c>
      <c r="P898" t="s">
        <v>26</v>
      </c>
    </row>
    <row r="899" spans="1:16" x14ac:dyDescent="0.2">
      <c r="A899" t="s">
        <v>114</v>
      </c>
      <c r="B899" t="s">
        <v>115</v>
      </c>
      <c r="C899" t="s">
        <v>180</v>
      </c>
      <c r="D899" t="s">
        <v>224</v>
      </c>
      <c r="E899" t="s">
        <v>96</v>
      </c>
      <c r="F899" t="s">
        <v>312</v>
      </c>
      <c r="G899" t="s">
        <v>313</v>
      </c>
      <c r="H899" s="1">
        <v>35000</v>
      </c>
      <c r="I899" t="s">
        <v>225</v>
      </c>
      <c r="J899" t="s">
        <v>120</v>
      </c>
      <c r="L899" t="s">
        <v>114</v>
      </c>
      <c r="M899" s="1"/>
      <c r="N899" s="1"/>
      <c r="O899" t="s">
        <v>121</v>
      </c>
      <c r="P899" t="s">
        <v>26</v>
      </c>
    </row>
    <row r="900" spans="1:16" x14ac:dyDescent="0.2">
      <c r="A900" t="s">
        <v>114</v>
      </c>
      <c r="B900" t="s">
        <v>115</v>
      </c>
      <c r="C900" t="s">
        <v>180</v>
      </c>
      <c r="D900" t="s">
        <v>224</v>
      </c>
      <c r="E900" t="s">
        <v>96</v>
      </c>
      <c r="F900" t="s">
        <v>1698</v>
      </c>
      <c r="G900" t="s">
        <v>1699</v>
      </c>
      <c r="H900" s="1">
        <v>15000</v>
      </c>
      <c r="I900" t="s">
        <v>225</v>
      </c>
      <c r="J900" t="s">
        <v>120</v>
      </c>
      <c r="L900" t="s">
        <v>114</v>
      </c>
      <c r="M900" s="1"/>
      <c r="N900" s="1"/>
      <c r="O900" t="s">
        <v>121</v>
      </c>
      <c r="P900" t="s">
        <v>26</v>
      </c>
    </row>
    <row r="901" spans="1:16" x14ac:dyDescent="0.2">
      <c r="A901" t="s">
        <v>114</v>
      </c>
      <c r="B901" t="s">
        <v>115</v>
      </c>
      <c r="C901" t="s">
        <v>1464</v>
      </c>
      <c r="D901" t="s">
        <v>1465</v>
      </c>
      <c r="E901" t="s">
        <v>96</v>
      </c>
      <c r="F901" t="s">
        <v>304</v>
      </c>
      <c r="G901" t="s">
        <v>305</v>
      </c>
      <c r="H901" s="1">
        <v>21691.3</v>
      </c>
      <c r="I901" t="s">
        <v>1466</v>
      </c>
      <c r="J901" t="s">
        <v>120</v>
      </c>
      <c r="L901" t="s">
        <v>114</v>
      </c>
      <c r="M901" s="1"/>
      <c r="N901" s="1"/>
      <c r="O901" t="s">
        <v>121</v>
      </c>
      <c r="P901" t="s">
        <v>26</v>
      </c>
    </row>
    <row r="902" spans="1:16" x14ac:dyDescent="0.2">
      <c r="A902" t="s">
        <v>114</v>
      </c>
      <c r="B902" t="s">
        <v>115</v>
      </c>
      <c r="C902" t="s">
        <v>315</v>
      </c>
      <c r="D902" t="s">
        <v>316</v>
      </c>
      <c r="E902" t="s">
        <v>96</v>
      </c>
      <c r="F902" t="s">
        <v>1698</v>
      </c>
      <c r="G902" t="s">
        <v>1699</v>
      </c>
      <c r="H902" s="1">
        <v>15000</v>
      </c>
      <c r="I902" t="s">
        <v>317</v>
      </c>
      <c r="J902" t="s">
        <v>120</v>
      </c>
      <c r="L902" t="s">
        <v>114</v>
      </c>
      <c r="M902" s="1"/>
      <c r="N902" s="1"/>
      <c r="O902" t="s">
        <v>121</v>
      </c>
      <c r="P902" t="s">
        <v>26</v>
      </c>
    </row>
    <row r="903" spans="1:16" x14ac:dyDescent="0.2">
      <c r="A903" t="s">
        <v>114</v>
      </c>
      <c r="B903" t="s">
        <v>115</v>
      </c>
      <c r="C903" t="s">
        <v>1469</v>
      </c>
      <c r="D903" t="s">
        <v>1470</v>
      </c>
      <c r="E903" t="s">
        <v>96</v>
      </c>
      <c r="F903" t="s">
        <v>117</v>
      </c>
      <c r="G903" t="s">
        <v>118</v>
      </c>
      <c r="H903" s="1">
        <v>9732</v>
      </c>
      <c r="I903" t="s">
        <v>1062</v>
      </c>
      <c r="J903" t="s">
        <v>120</v>
      </c>
      <c r="L903" t="s">
        <v>114</v>
      </c>
      <c r="M903" s="1"/>
      <c r="N903" s="1"/>
      <c r="O903" t="s">
        <v>121</v>
      </c>
      <c r="P903" t="s">
        <v>26</v>
      </c>
    </row>
    <row r="904" spans="1:16" x14ac:dyDescent="0.2">
      <c r="A904" t="s">
        <v>114</v>
      </c>
      <c r="B904" t="s">
        <v>115</v>
      </c>
      <c r="C904" t="s">
        <v>96</v>
      </c>
      <c r="D904" t="s">
        <v>1472</v>
      </c>
      <c r="E904" t="s">
        <v>96</v>
      </c>
      <c r="F904" t="s">
        <v>117</v>
      </c>
      <c r="G904" t="s">
        <v>118</v>
      </c>
      <c r="H904" s="1">
        <v>4866</v>
      </c>
      <c r="I904" t="s">
        <v>1409</v>
      </c>
      <c r="J904" t="s">
        <v>120</v>
      </c>
      <c r="L904" t="s">
        <v>114</v>
      </c>
      <c r="M904" s="1"/>
      <c r="N904" s="1"/>
      <c r="O904" t="s">
        <v>121</v>
      </c>
      <c r="P904" t="s">
        <v>26</v>
      </c>
    </row>
    <row r="905" spans="1:16" x14ac:dyDescent="0.2">
      <c r="A905" t="s">
        <v>114</v>
      </c>
      <c r="B905" t="s">
        <v>115</v>
      </c>
      <c r="C905" t="s">
        <v>288</v>
      </c>
      <c r="D905" t="s">
        <v>289</v>
      </c>
      <c r="E905" t="s">
        <v>96</v>
      </c>
      <c r="F905" t="s">
        <v>312</v>
      </c>
      <c r="G905" t="s">
        <v>313</v>
      </c>
      <c r="H905" s="1">
        <v>20000</v>
      </c>
      <c r="I905" t="s">
        <v>292</v>
      </c>
      <c r="J905" t="s">
        <v>120</v>
      </c>
      <c r="L905" t="s">
        <v>114</v>
      </c>
      <c r="M905" s="1"/>
      <c r="N905" s="1"/>
      <c r="O905" t="s">
        <v>121</v>
      </c>
      <c r="P905" t="s">
        <v>26</v>
      </c>
    </row>
    <row r="906" spans="1:16" x14ac:dyDescent="0.2">
      <c r="A906" t="s">
        <v>114</v>
      </c>
      <c r="B906" t="s">
        <v>115</v>
      </c>
      <c r="C906" t="s">
        <v>302</v>
      </c>
      <c r="D906" t="s">
        <v>303</v>
      </c>
      <c r="E906" t="s">
        <v>96</v>
      </c>
      <c r="F906" t="s">
        <v>312</v>
      </c>
      <c r="G906" t="s">
        <v>313</v>
      </c>
      <c r="H906" s="1">
        <v>13909.5</v>
      </c>
      <c r="I906" t="s">
        <v>306</v>
      </c>
      <c r="J906" t="s">
        <v>120</v>
      </c>
      <c r="L906" t="s">
        <v>114</v>
      </c>
      <c r="M906" s="1"/>
      <c r="N906" s="1"/>
      <c r="O906" t="s">
        <v>121</v>
      </c>
      <c r="P906" t="s">
        <v>26</v>
      </c>
    </row>
    <row r="907" spans="1:16" x14ac:dyDescent="0.2">
      <c r="A907" t="s">
        <v>114</v>
      </c>
      <c r="B907" t="s">
        <v>115</v>
      </c>
      <c r="C907" t="s">
        <v>1211</v>
      </c>
      <c r="D907" t="s">
        <v>1489</v>
      </c>
      <c r="E907" t="s">
        <v>96</v>
      </c>
      <c r="F907" t="s">
        <v>1480</v>
      </c>
      <c r="G907" t="s">
        <v>1481</v>
      </c>
      <c r="H907" s="1">
        <v>29658.9</v>
      </c>
      <c r="I907" t="s">
        <v>1490</v>
      </c>
      <c r="J907" t="s">
        <v>120</v>
      </c>
      <c r="L907" t="s">
        <v>114</v>
      </c>
      <c r="M907" s="1"/>
      <c r="N907" s="1"/>
      <c r="O907" t="s">
        <v>121</v>
      </c>
      <c r="P907" t="s">
        <v>26</v>
      </c>
    </row>
  </sheetData>
  <autoFilter ref="A1:P907" xr:uid="{00682DCB-2279-D546-9D57-B5A6999D03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Gros-desirs</dc:creator>
  <cp:lastModifiedBy>Jonathan Gros-desirs</cp:lastModifiedBy>
  <dcterms:created xsi:type="dcterms:W3CDTF">2020-03-03T16:57:39Z</dcterms:created>
  <dcterms:modified xsi:type="dcterms:W3CDTF">2020-03-03T17:42:00Z</dcterms:modified>
</cp:coreProperties>
</file>